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e2a3008e734d8f" /></Relationships>
</file>

<file path=xl/workbook.xml><?xml version="1.0" encoding="utf-8"?>
<x:workbook xmlns:x="http://schemas.openxmlformats.org/spreadsheetml/2006/main">
  <x:sheets>
    <x:sheet xmlns:r="http://schemas.openxmlformats.org/officeDocument/2006/relationships" name="Burndown Chart" sheetId="1" r:id="R14e51e373ff24897"/>
    <x:sheet xmlns:r="http://schemas.openxmlformats.org/officeDocument/2006/relationships" name="Sprint Backlog Detalle" sheetId="2" r:id="R7cbf7e5bd6f64ff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5"/>
      <x:color rgb="FFFFFFFF"/>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24618C"/>
      </x:patternFill>
    </x:fill>
    <x:fill>
      <x:patternFill patternType="solid">
        <x:fgColor rgb="FFDCEAF4"/>
      </x:patternFill>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b64c76e6254e11" /><Relationship Type="http://schemas.openxmlformats.org/officeDocument/2006/relationships/theme" Target="/xl/theme/theme1.xml" Id="Rfee2c6a821684367" /><Relationship Type="http://schemas.openxmlformats.org/officeDocument/2006/relationships/sharedStrings" Target="/xl/sharedStrings.xml" Id="R360a683563f74ac1" /><Relationship Type="http://schemas.openxmlformats.org/officeDocument/2006/relationships/worksheet" Target="/xl/worksheets/sheet1.xml" Id="R14e51e373ff24897" /><Relationship Type="http://schemas.openxmlformats.org/officeDocument/2006/relationships/worksheet" Target="/xl/worksheets/sheet2.xml" Id="R7cbf7e5bd6f64ff7" /></Relationships>
</file>

<file path=xl/drawings/_rels/drawing1.xml.rels>&#65279;<?xml version="1.0" encoding="utf-8"?><Relationships xmlns="http://schemas.openxmlformats.org/package/2006/relationships"><Relationship Type="http://schemas.openxmlformats.org/officeDocument/2006/relationships/chart" Target="/xl/drawings/charts/chart1.xml" Id="R563a988a3ed4466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Burndown Chart - Sprint 2</a:t>
            </a:r>
          </a:p>
        </c:rich>
      </c:tx>
      <c:overlay val="0"/>
    </c:title>
    <c:plotArea>
      <c:lineChart>
        <c:grouping val="standard"/>
        <c:varyColors val="0"/>
        <c:ser>
          <c:idx val="0"/>
          <c:order val="0"/>
          <c:tx>
            <c:v>Trabajo Ideal (Horas)</c:v>
          </c:tx>
          <c:marker>
            <c:symbol val="none"/>
          </c:marker>
          <c:cat>
            <c:strRef>
              <c:f>'Burndown Chart'!$A$4:$A$25</c:f>
              <c:strCache>
                <c:ptCount val="0"/>
              </c:strCache>
            </c:strRef>
          </c:cat>
          <c:val>
            <c:numRef>
              <c:f>'Burndown Chart'!$B$4:$B$25</c:f>
              <c:numCache>
                <c:formatCode>0.00</c:formatCode>
                <c:ptCount val="0"/>
              </c:numCache>
            </c:numRef>
          </c:val>
          <c:smooth val="0"/>
        </c:ser>
        <c:ser>
          <c:idx val="1"/>
          <c:order val="1"/>
          <c:tx>
            <c:v>Trabajo Real Restante (Horas)</c:v>
          </c:tx>
          <c:marker>
            <c:symbol val="none"/>
          </c:marker>
          <c:cat>
            <c:strRef>
              <c:f>'Burndown Chart'!$A$4:$A$25</c:f>
              <c:strCache>
                <c:ptCount val="0"/>
              </c:strCache>
            </c:strRef>
          </c:cat>
          <c:val>
            <c:numRef>
              <c:f>'Burndown Chart'!$C$4:$C$25</c:f>
              <c:numCache>
                <c:formatCode>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2</xdr:row>
      <xdr:rowOff>0</xdr:rowOff>
    </xdr:from>
    <xdr:to>
      <xdr:col>16</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3a988a3ed4466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1d2d9fbc5bc4fca"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9" hidden="0" customWidth="1"/>
    <x:col min="2" max="2" width="30" hidden="0" customWidth="1"/>
    <x:col min="3" max="3" width="30" hidden="0" customWidth="1"/>
    <x:col min="5" max="5" width="14" hidden="0" customWidth="1"/>
    <x:col min="6" max="6" width="35" hidden="0" customWidth="1"/>
  </x:cols>
  <x:sheetData>
    <x:row r="1" ht="34" customHeight="1">
      <x:c r="A1" s="3" t="str">
        <x:v>BURNDOWN CHART - SPRINT 2 (KYO VANTAGE)</x:v>
      </x:c>
      <x:c r="B1" s="3"/>
      <x:c r="C1" s="3"/>
    </x:row>
    <x:row r="3" ht="32" customHeight="1">
      <x:c r="A3" s="8" t="str">
        <x:v>Día del Sprint</x:v>
      </x:c>
      <x:c r="B3" s="8" t="str">
        <x:v>Trabajo Ideal (Horas)</x:v>
      </x:c>
      <x:c r="C3" s="8" t="str">
        <x:v>Trabajo Real Restante (Horas)</x:v>
      </x:c>
      <x:c r="E3" s="21" t="str">
        <x:v>Día</x:v>
      </x:c>
      <x:c r="F3" s="21" t="str">
        <x:v>Horas realizadas (propuesta)</x:v>
      </x:c>
    </x:row>
    <x:row r="4">
      <x:c r="A4" t="str">
        <x:v>Día 0</x:v>
      </x:c>
      <x:c r="B4" s="12" t="n">
        <x:f>'Sprint Backlog Detalle'!$F$18*(1-0/21)</x:f>
        <x:v>100</x:v>
      </x:c>
      <x:c r="C4" s="12" t="n">
        <x:v>100</x:v>
      </x:c>
      <x:c r="E4" t="str">
        <x:v>Día 1</x:v>
      </x:c>
      <x:c r="F4" t="n">
        <x:v>3</x:v>
      </x:c>
    </x:row>
    <x:row r="5">
      <x:c r="A5" t="str">
        <x:v>Día 1</x:v>
      </x:c>
      <x:c r="B5" s="12" t="n">
        <x:f>'Sprint Backlog Detalle'!$F$18*(1-1/21)</x:f>
        <x:v>95.23809523809523</x:v>
      </x:c>
      <x:c r="C5" s="12" t="n">
        <x:v>97</x:v>
      </x:c>
      <x:c r="E5" t="str">
        <x:v>Día 2</x:v>
      </x:c>
      <x:c r="F5" t="n">
        <x:v>7</x:v>
      </x:c>
    </x:row>
    <x:row r="6">
      <x:c r="A6" t="str">
        <x:v>Día 2</x:v>
      </x:c>
      <x:c r="B6" s="12" t="n">
        <x:f>'Sprint Backlog Detalle'!$F$18*(1-2/21)</x:f>
        <x:v>90.47619047619048</x:v>
      </x:c>
      <x:c r="C6" s="12" t="n">
        <x:v>90</x:v>
      </x:c>
      <x:c r="E6" t="str">
        <x:v>Día 3</x:v>
      </x:c>
      <x:c r="F6" t="n">
        <x:v>5</x:v>
      </x:c>
    </x:row>
    <x:row r="7">
      <x:c r="A7" t="str">
        <x:v>Día 3</x:v>
      </x:c>
      <x:c r="B7" s="12" t="n">
        <x:f>'Sprint Backlog Detalle'!$F$18*(1-3/21)</x:f>
        <x:v>85.71428571428572</x:v>
      </x:c>
      <x:c r="C7" s="12" t="n">
        <x:v>85</x:v>
      </x:c>
      <x:c r="E7" t="str">
        <x:v>Día 4</x:v>
      </x:c>
      <x:c r="F7" t="n">
        <x:v>0</x:v>
      </x:c>
    </x:row>
    <x:row r="8">
      <x:c r="A8" t="str">
        <x:v>Día 4</x:v>
      </x:c>
      <x:c r="B8" s="12" t="n">
        <x:f>'Sprint Backlog Detalle'!$F$18*(1-4/21)</x:f>
        <x:v>80.95238095238095</x:v>
      </x:c>
      <x:c r="C8" s="12" t="n">
        <x:v>85</x:v>
      </x:c>
      <x:c r="E8" t="str">
        <x:v>Día 5</x:v>
      </x:c>
      <x:c r="F8" t="n">
        <x:v>6</x:v>
      </x:c>
    </x:row>
    <x:row r="9">
      <x:c r="A9" t="str">
        <x:v>Día 5</x:v>
      </x:c>
      <x:c r="B9" s="12" t="n">
        <x:f>'Sprint Backlog Detalle'!$F$18*(1-5/21)</x:f>
        <x:v>76.19047619047619</x:v>
      </x:c>
      <x:c r="C9" s="12" t="n">
        <x:v>79</x:v>
      </x:c>
      <x:c r="E9" t="str">
        <x:v>Día 6</x:v>
      </x:c>
      <x:c r="F9" t="n">
        <x:v>4</x:v>
      </x:c>
    </x:row>
    <x:row r="10">
      <x:c r="A10" t="str">
        <x:v>Día 6</x:v>
      </x:c>
      <x:c r="B10" s="12" t="n">
        <x:f>'Sprint Backlog Detalle'!$F$18*(1-6/21)</x:f>
        <x:v>71.42857142857143</x:v>
      </x:c>
      <x:c r="C10" s="12" t="n">
        <x:v>75</x:v>
      </x:c>
      <x:c r="E10" t="str">
        <x:v>Día 7</x:v>
      </x:c>
      <x:c r="F10" t="n">
        <x:v>2</x:v>
      </x:c>
    </x:row>
    <x:row r="11">
      <x:c r="A11" t="str">
        <x:v>Día 7</x:v>
      </x:c>
      <x:c r="B11" s="12" t="n">
        <x:f>'Sprint Backlog Detalle'!$F$18*(1-7/21)</x:f>
        <x:v>66.66666666666667</x:v>
      </x:c>
      <x:c r="C11" s="12" t="n">
        <x:v>73</x:v>
      </x:c>
      <x:c r="E11" t="str">
        <x:v>Día 8</x:v>
      </x:c>
      <x:c r="F11" t="n">
        <x:v>8</x:v>
      </x:c>
    </x:row>
    <x:row r="12">
      <x:c r="A12" t="str">
        <x:v>Día 8</x:v>
      </x:c>
      <x:c r="B12" s="12" t="n">
        <x:f>'Sprint Backlog Detalle'!$F$18*(1-8/21)</x:f>
        <x:v>61.904761904761905</x:v>
      </x:c>
      <x:c r="C12" s="12" t="n">
        <x:v>65</x:v>
      </x:c>
      <x:c r="E12" t="str">
        <x:v>Día 9</x:v>
      </x:c>
      <x:c r="F12" t="n">
        <x:v>6</x:v>
      </x:c>
    </x:row>
    <x:row r="13">
      <x:c r="A13" t="str">
        <x:v>Día 9</x:v>
      </x:c>
      <x:c r="B13" s="12" t="n">
        <x:f>'Sprint Backlog Detalle'!$F$18*(1-9/21)</x:f>
        <x:v>57.14285714285714</x:v>
      </x:c>
      <x:c r="C13" s="12" t="n">
        <x:v>59</x:v>
      </x:c>
      <x:c r="E13" t="str">
        <x:v>Día 10</x:v>
      </x:c>
      <x:c r="F13" t="n">
        <x:v>3</x:v>
      </x:c>
    </x:row>
    <x:row r="14">
      <x:c r="A14" t="str">
        <x:v>Día 10</x:v>
      </x:c>
      <x:c r="B14" s="12" t="n">
        <x:f>'Sprint Backlog Detalle'!$F$18*(1-10/21)</x:f>
        <x:v>52.38095238095239</x:v>
      </x:c>
      <x:c r="C14" s="12" t="n">
        <x:v>56</x:v>
      </x:c>
      <x:c r="E14" t="str">
        <x:v>Día 11</x:v>
      </x:c>
      <x:c r="F14" t="n">
        <x:v>7</x:v>
      </x:c>
    </x:row>
    <x:row r="15">
      <x:c r="A15" t="str">
        <x:v>Día 11</x:v>
      </x:c>
      <x:c r="B15" s="12" t="n">
        <x:f>'Sprint Backlog Detalle'!$F$18*(1-11/21)</x:f>
        <x:v>47.61904761904761</x:v>
      </x:c>
      <x:c r="C15" s="12" t="n">
        <x:v>49</x:v>
      </x:c>
      <x:c r="E15" t="str">
        <x:v>Día 12</x:v>
      </x:c>
      <x:c r="F15" t="n">
        <x:v>0</x:v>
      </x:c>
    </x:row>
    <x:row r="16">
      <x:c r="A16" t="str">
        <x:v>Día 12</x:v>
      </x:c>
      <x:c r="B16" s="12" t="n">
        <x:f>'Sprint Backlog Detalle'!$F$18*(1-12/21)</x:f>
        <x:v>42.85714285714286</x:v>
      </x:c>
      <x:c r="C16" s="12" t="n">
        <x:v>49</x:v>
      </x:c>
      <x:c r="E16" t="str">
        <x:v>Día 13</x:v>
      </x:c>
      <x:c r="F16" t="n">
        <x:v>5</x:v>
      </x:c>
    </x:row>
    <x:row r="17">
      <x:c r="A17" t="str">
        <x:v>Día 13</x:v>
      </x:c>
      <x:c r="B17" s="12" t="n">
        <x:f>'Sprint Backlog Detalle'!$F$18*(1-13/21)</x:f>
        <x:v>38.095238095238095</x:v>
      </x:c>
      <x:c r="C17" s="12" t="n">
        <x:v>44</x:v>
      </x:c>
      <x:c r="E17" t="str">
        <x:v>Día 14</x:v>
      </x:c>
      <x:c r="F17" t="n">
        <x:v>6</x:v>
      </x:c>
    </x:row>
    <x:row r="18">
      <x:c r="A18" t="str">
        <x:v>Día 14</x:v>
      </x:c>
      <x:c r="B18" s="12" t="n">
        <x:f>'Sprint Backlog Detalle'!$F$18*(1-14/21)</x:f>
        <x:v>33.333333333333336</x:v>
      </x:c>
      <x:c r="C18" s="12" t="n">
        <x:v>38</x:v>
      </x:c>
      <x:c r="E18" t="str">
        <x:v>Día 15</x:v>
      </x:c>
      <x:c r="F18" t="n">
        <x:v>4</x:v>
      </x:c>
    </x:row>
    <x:row r="19">
      <x:c r="A19" t="str">
        <x:v>Día 15</x:v>
      </x:c>
      <x:c r="B19" s="12" t="n">
        <x:f>'Sprint Backlog Detalle'!$F$18*(1-15/21)</x:f>
        <x:v>28.57142857142857</x:v>
      </x:c>
      <x:c r="C19" s="12" t="n">
        <x:v>34</x:v>
      </x:c>
      <x:c r="E19" t="str">
        <x:v>Día 16</x:v>
      </x:c>
      <x:c r="F19" t="n">
        <x:v>8</x:v>
      </x:c>
    </x:row>
    <x:row r="20">
      <x:c r="A20" t="str">
        <x:v>Día 16</x:v>
      </x:c>
      <x:c r="B20" s="12" t="n">
        <x:f>'Sprint Backlog Detalle'!$F$18*(1-16/21)</x:f>
        <x:v>23.809523809523814</x:v>
      </x:c>
      <x:c r="C20" s="12" t="n">
        <x:v>26</x:v>
      </x:c>
      <x:c r="E20" t="str">
        <x:v>Día 17</x:v>
      </x:c>
      <x:c r="F20" t="n">
        <x:v>5</x:v>
      </x:c>
    </x:row>
    <x:row r="21">
      <x:c r="A21" t="str">
        <x:v>Día 17</x:v>
      </x:c>
      <x:c r="B21" s="12" t="n">
        <x:f>'Sprint Backlog Detalle'!$F$18*(1-17/21)</x:f>
        <x:v>19.047619047619047</x:v>
      </x:c>
      <x:c r="C21" s="12" t="n">
        <x:v>21</x:v>
      </x:c>
      <x:c r="E21" t="str">
        <x:v>Día 18</x:v>
      </x:c>
      <x:c r="F21" t="n">
        <x:v>7</x:v>
      </x:c>
    </x:row>
    <x:row r="22">
      <x:c r="A22" t="str">
        <x:v>Día 18</x:v>
      </x:c>
      <x:c r="B22" s="12" t="n">
        <x:f>'Sprint Backlog Detalle'!$F$18*(1-18/21)</x:f>
        <x:v>14.28571428571429</x:v>
      </x:c>
      <x:c r="C22" s="12" t="n">
        <x:v>14</x:v>
      </x:c>
      <x:c r="E22" t="str">
        <x:v>Día 19</x:v>
      </x:c>
      <x:c r="F22" t="n">
        <x:v>4</x:v>
      </x:c>
    </x:row>
    <x:row r="23">
      <x:c r="A23" t="str">
        <x:v>Día 19</x:v>
      </x:c>
      <x:c r="B23" s="12" t="n">
        <x:f>'Sprint Backlog Detalle'!$F$18*(1-19/21)</x:f>
        <x:v>9.523809523809524</x:v>
      </x:c>
      <x:c r="C23" s="12" t="n">
        <x:v>10</x:v>
      </x:c>
      <x:c r="E23" t="str">
        <x:v>Día 20</x:v>
      </x:c>
      <x:c r="F23" t="n">
        <x:v>6</x:v>
      </x:c>
    </x:row>
    <x:row r="24">
      <x:c r="A24" t="str">
        <x:v>Día 20</x:v>
      </x:c>
      <x:c r="B24" s="12" t="n">
        <x:f>'Sprint Backlog Detalle'!$F$18*(1-20/21)</x:f>
        <x:v>4.761904761904767</x:v>
      </x:c>
      <x:c r="C24" s="12" t="n">
        <x:v>4</x:v>
      </x:c>
      <x:c r="E24" t="str">
        <x:v>Día 21</x:v>
      </x:c>
      <x:c r="F24" t="n">
        <x:v>4</x:v>
      </x:c>
    </x:row>
    <x:row r="25">
      <x:c r="A25" t="str">
        <x:v>Día 21</x:v>
      </x:c>
      <x:c r="B25" s="12" t="n">
        <x:f>'Sprint Backlog Detalle'!$F$18*(1-21/21)</x:f>
        <x:v>0</x:v>
      </x:c>
      <x:c r="C25" s="12" t="n">
        <x:v>0</x:v>
      </x:c>
    </x:row>
  </x:sheetData>
  <x:mergeCells>
    <x:mergeCell ref="A1:C1"/>
  </x:mergeCells>
  <x:pageMargins left="0.7" right="0.7" top="0.75" bottom="0.75" header="0.3" footer="0.3"/>
  <x:drawing xmlns:r="http://schemas.openxmlformats.org/officeDocument/2006/relationships" r:id="R01d2d9fbc5bc4fca"/>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6" hidden="0" customWidth="1"/>
    <x:col min="2" max="2" width="64" hidden="0" customWidth="1"/>
    <x:col min="3" max="3" width="75" hidden="0" customWidth="1"/>
    <x:col min="4" max="4" width="35" hidden="0" customWidth="1"/>
    <x:col min="5" max="5" width="18" hidden="0" customWidth="1"/>
    <x:col min="6" max="6" width="22" hidden="0" customWidth="1"/>
  </x:cols>
  <x:sheetData>
    <x:row r="1" ht="34" customHeight="1">
      <x:c r="A1" s="3" t="str">
        <x:v>DETALLE DE TAREAS - SPRINT 2</x:v>
      </x:c>
      <x:c r="B1" s="3"/>
      <x:c r="C1" s="3"/>
      <x:c r="D1" s="3"/>
      <x:c r="E1" s="3"/>
      <x:c r="F1" s="3"/>
    </x:row>
    <x:row r="3" ht="32" customHeight="1">
      <x:c r="A3" s="8" t="str">
        <x:v>ID Backlog</x:v>
      </x:c>
      <x:c r="B3" s="8" t="str">
        <x:v>Enunciado Historia de Usuario</x:v>
      </x:c>
      <x:c r="C3" s="8" t="str">
        <x:v>Tarea</x:v>
      </x:c>
      <x:c r="D3" s="8" t="str">
        <x:v>Responsable</x:v>
      </x:c>
      <x:c r="E3" s="8" t="str">
        <x:v>Estatus</x:v>
      </x:c>
      <x:c r="F3" s="8" t="str">
        <x:v>Estimación (Horas)</x:v>
      </x:c>
    </x:row>
    <x:row r="4" ht="57" customHeight="1">
      <x:c r="A4" s="18" t="str">
        <x:v>HU-05</x:v>
      </x:c>
      <x:c r="B4" s="18" t="str">
        <x:v>Como un Usuario, necesito contar con una agenda financiera interactiva para registrar, consultar y gestionar mis compromisos de pago periódicos vinculados a mis cuentas y tarjetas, con la finalidad de anticipar mis obligaciones del mes, evitar cobros por intereses de mora y mantener mis fechas de pago bajo control.</x:v>
      </x:c>
      <x:c r="C4" s="18" t="str">
        <x:v>[SP2-01] Adaptación de plantillas recurrentes a cuentas normalizadas</x:v>
      </x:c>
      <x:c r="D4" s="18" t="str">
        <x:v>Bruno Seguel</x:v>
      </x:c>
      <x:c r="E4" s="18" t="str">
        <x:v>Completado</x:v>
      </x:c>
      <x:c r="F4" s="18" t="n">
        <x:v>6</x:v>
      </x:c>
    </x:row>
    <x:row r="5" ht="57" customHeight="1">
      <x:c r="A5" s="18"/>
      <x:c r="B5" s="18"/>
      <x:c r="C5" s="18" t="str">
        <x:v>[SP2-02] Interfaz interactiva de Agenda y Calendario en /agenda</x:v>
      </x:c>
      <x:c r="D5" s="18" t="str">
        <x:v>Bruno Seguel</x:v>
      </x:c>
      <x:c r="E5" s="18" t="str">
        <x:v>Completado</x:v>
      </x:c>
      <x:c r="F5" s="18" t="n">
        <x:v>8</x:v>
      </x:c>
    </x:row>
    <x:row r="6" ht="57" customHeight="1">
      <x:c r="A6" s="18" t="str">
        <x:v>HU-08</x:v>
      </x:c>
      <x:c r="B6" s="18" t="str">
        <x:v>Como un Administrador, necesito disponer de una consola administrativa centralizada para gestionar el catálogo oficial de entidades bancarias, plantillas de productos, lista de espera y moderar usuarios, con la finalidad de mantener la integridad operativa del sistema y controlar el acceso a la plataforma.</x:v>
      </x:c>
      <x:c r="C6" s="18" t="str">
        <x:v>[SP2-03] Configuración de roles y seguridad para acceso administrativo</x:v>
      </x:c>
      <x:c r="D6" s="18" t="str">
        <x:v>Nicolas Vargas</x:v>
      </x:c>
      <x:c r="E6" s="18" t="str">
        <x:v>Completado</x:v>
      </x:c>
      <x:c r="F6" s="18" t="n">
        <x:v>6</x:v>
      </x:c>
    </x:row>
    <x:row r="7" ht="57" customHeight="1">
      <x:c r="A7" s="18"/>
      <x:c r="B7" s="18"/>
      <x:c r="C7" s="18" t="str">
        <x:v>[SP2-04] Consola de Administración (Admin View): Catálogo de Bancos y Plantillas</x:v>
      </x:c>
      <x:c r="D7" s="18" t="str">
        <x:v>Nicolas Vargas</x:v>
      </x:c>
      <x:c r="E7" s="18" t="str">
        <x:v>Completado</x:v>
      </x:c>
      <x:c r="F7" s="18" t="n">
        <x:v>8</x:v>
      </x:c>
    </x:row>
    <x:row r="8" ht="57" customHeight="1">
      <x:c r="A8" s="18" t="str">
        <x:v>HU-06</x:v>
      </x:c>
      <x:c r="B8" s="18" t="str">
        <x:v>Como un Usuario, necesito visualizar en mi Dashboard mi liquidez neta disponible calculada restando los compromisos fijos y pagos pendientes del mes de mi saldo total en cuentas, con la finalidad de conocer con exactitud cuánto dinero libre puedo utilizar sin comprometer mis obligaciones financieras obligatorias ni mis metas de ahorro.</x:v>
      </x:c>
      <x:c r="C8" s="18" t="str">
        <x:v>[SP2-05] Servicio de proyección de compromisos y buffer de disponibilidad</x:v>
      </x:c>
      <x:c r="D8" s="18" t="str">
        <x:v>Nicolas Vargas</x:v>
      </x:c>
      <x:c r="E8" s="18" t="str">
        <x:v>Completado</x:v>
      </x:c>
      <x:c r="F8" s="18" t="n">
        <x:v>6</x:v>
      </x:c>
    </x:row>
    <x:row r="9" ht="57" customHeight="1">
      <x:c r="A9" s="18"/>
      <x:c r="B9" s="18"/>
      <x:c r="C9" s="18" t="str">
        <x:v>[SP2-06] Integración del widget de disponibilidad neta en Dashboard</x:v>
      </x:c>
      <x:c r="D9" s="18" t="str">
        <x:v>Nicolas Vargas</x:v>
      </x:c>
      <x:c r="E9" s="18" t="str">
        <x:v>Completado</x:v>
      </x:c>
      <x:c r="F9" s="18" t="n">
        <x:v>8</x:v>
      </x:c>
    </x:row>
    <x:row r="10" ht="57" customHeight="1">
      <x:c r="A10" s="18" t="str">
        <x:v>HU-05</x:v>
      </x:c>
      <x:c r="B10" s="18" t="str">
        <x:v>Como un Usuario, necesito contar con una agenda financiera interactiva para registrar, consultar y gestionar mis compromisos de pago periódicos vinculados a mis cuentas y tarjetas, con la finalidad de anticipar mis obligaciones del mes, evitar cobros por intereses de mora y mantener mis fechas de pago bajo control.</x:v>
      </x:c>
      <x:c r="C10" s="18" t="str">
        <x:v>[SP2-07] Acciones rápidas de Agenda: Marcar pagado y generación de transacciones</x:v>
      </x:c>
      <x:c r="D10" s="18" t="str">
        <x:v>Angel Gomez</x:v>
      </x:c>
      <x:c r="E10" s="18" t="str">
        <x:v>Completado</x:v>
      </x:c>
      <x:c r="F10" s="18" t="n">
        <x:v>8</x:v>
      </x:c>
    </x:row>
    <x:row r="11" ht="57" customHeight="1">
      <x:c r="A11" s="18" t="str">
        <x:v>HU-07</x:v>
      </x:c>
      <x:c r="B11" s="18" t="str">
        <x:v>Como un Usuario, necesito contar con soporte PWA offline y recibir notificaciones web push sobre vencimientos próximos de mis compromisos agendados, con la finalidad de operar sin interrupciones ante fallas de red y recibir recordatorios oportunos sin tener la app abierta.</x:v>
      </x:c>
      <x:c r="C11" s="18" t="str">
        <x:v>[SP2-08] Configuración de Service Worker y estrategia de caché offline</x:v>
      </x:c>
      <x:c r="D11" s="18" t="str">
        <x:v>Bruno Seguel</x:v>
      </x:c>
      <x:c r="E11" s="18" t="str">
        <x:v>Completado</x:v>
      </x:c>
      <x:c r="F11" s="18" t="n">
        <x:v>6</x:v>
      </x:c>
    </x:row>
    <x:row r="12" ht="57" customHeight="1">
      <x:c r="A12" s="18" t="str">
        <x:v>HU-05</x:v>
      </x:c>
      <x:c r="B12" s="18" t="str">
        <x:v>Como un Usuario, necesito contar con una agenda financiera interactiva para registrar, consultar y gestionar mis compromisos de pago periódicos vinculados a mis cuentas y tarjetas, con la finalidad de anticipar mis obligaciones del mes, evitar cobros por intereses de mora y mantener mis fechas de pago bajo control.</x:v>
      </x:c>
      <x:c r="C12" s="18" t="str">
        <x:v>[SP2-09] Optimización de queries, prefetching e índices de alto rendimiento para Agenda y Cuentas</x:v>
      </x:c>
      <x:c r="D12" s="18" t="str">
        <x:v>Nicolas Vargas</x:v>
      </x:c>
      <x:c r="E12" s="18" t="str">
        <x:v>Completado</x:v>
      </x:c>
      <x:c r="F12" s="18" t="n">
        <x:v>8</x:v>
      </x:c>
    </x:row>
    <x:row r="13" ht="57" customHeight="1">
      <x:c r="A13" s="18" t="str">
        <x:v>HU-07</x:v>
      </x:c>
      <x:c r="B13" s="18" t="str">
        <x:v>Como un Usuario, necesito contar con soporte PWA offline y recibir notificaciones web push sobre vencimientos próximos de mis compromisos agendados, con la finalidad de operar sin interrupciones ante fallas de red y recibir recordatorios oportunos sin tener la app abierta.</x:v>
      </x:c>
      <x:c r="C13" s="18" t="str">
        <x:v>[SP2-10] Infraestructura de notificaciones Web Push en cliente</x:v>
      </x:c>
      <x:c r="D13" s="18" t="str">
        <x:v>Bruno Seguel</x:v>
      </x:c>
      <x:c r="E13" s="18" t="str">
        <x:v>Completado</x:v>
      </x:c>
      <x:c r="F13" s="18" t="n">
        <x:v>6</x:v>
      </x:c>
    </x:row>
    <x:row r="14" ht="57" customHeight="1">
      <x:c r="A14" s="18" t="str">
        <x:v>HU-08</x:v>
      </x:c>
      <x:c r="B14" s="18" t="str">
        <x:v>Como un Administrador, necesito disponer de una consola administrativa centralizada para gestionar el catálogo oficial de entidades bancarias, plantillas de productos, lista de espera y moderar usuarios, con la finalidad de mantener la integridad operativa del sistema y controlar el acceso a la plataforma.</x:v>
      </x:c>
      <x:c r="C14" s="18" t="str">
        <x:v>[SP2-11] Panel Administrativo: Gestión y moderación de usuarios y perfiles</x:v>
      </x:c>
      <x:c r="D14" s="18" t="str">
        <x:v>Nicolas Vargas</x:v>
      </x:c>
      <x:c r="E14" s="18" t="str">
        <x:v>Completado</x:v>
      </x:c>
      <x:c r="F14" s="18" t="n">
        <x:v>8</x:v>
      </x:c>
    </x:row>
    <x:row r="15" ht="57" customHeight="1">
      <x:c r="A15" s="18"/>
      <x:c r="B15" s="18"/>
      <x:c r="C15" s="18" t="str">
        <x:v>[SP2-12] Panel Administrativo: Control y monitoreo de lista de espera (Waitlist)</x:v>
      </x:c>
      <x:c r="D15" s="18" t="str">
        <x:v>Angel Gomez</x:v>
      </x:c>
      <x:c r="E15" s="18" t="str">
        <x:v>Completado</x:v>
      </x:c>
      <x:c r="F15" s="18" t="n">
        <x:v>8</x:v>
      </x:c>
    </x:row>
    <x:row r="16" ht="57" customHeight="1">
      <x:c r="A16" s="18"/>
      <x:c r="B16" s="18"/>
      <x:c r="C16" s="18" t="str">
        <x:v>[SP2-13] Panel Administrativo: Monitoreo de métricas y salud de la plataforma</x:v>
      </x:c>
      <x:c r="D16" s="18" t="str">
        <x:v>Bruno Seguel</x:v>
      </x:c>
      <x:c r="E16" s="18" t="str">
        <x:v>Completado</x:v>
      </x:c>
      <x:c r="F16" s="18" t="n">
        <x:v>8</x:v>
      </x:c>
    </x:row>
    <x:row r="17" ht="57" customHeight="1">
      <x:c r="A17" s="18"/>
      <x:c r="B17" s="18"/>
      <x:c r="C17" s="18" t="str">
        <x:v>[SP2-14] Buffer de estabilización, revisión de staging y cierre técnico de Hito 3</x:v>
      </x:c>
      <x:c r="D17" s="18" t="str">
        <x:v>Angel Gomez, Bruno Seguel, Nicolas Vargas.</x:v>
      </x:c>
      <x:c r="E17" s="18" t="str">
        <x:v>Completado</x:v>
      </x:c>
      <x:c r="F17" s="18" t="n">
        <x:v>6</x:v>
      </x:c>
    </x:row>
    <x:row r="18">
      <x:c r="E18" s="15" t="str">
        <x:v>Total General:</x:v>
      </x:c>
      <x:c r="F18" s="15" t="n">
        <x:f>SUM(F4:F17)</x:f>
        <x:v>100</x:v>
      </x:c>
    </x:row>
  </x:sheetData>
  <x:mergeCells>
    <x:mergeCell ref="A1:F1"/>
  </x:mergeCells>
  <x:pageMargins left="0.7" right="0.7" top="0.75" bottom="0.75" header="0.3" footer="0.3"/>
</x:worksheet>
</file>