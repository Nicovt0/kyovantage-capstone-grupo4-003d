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ivgYtPVrKavIMiy5lHcHhrjQkBo4Q/C5vIt+0lpeWCE="/>
    </ext>
  </extLst>
</workbook>
</file>

<file path=xl/sharedStrings.xml><?xml version="1.0" encoding="utf-8"?>
<sst xmlns="http://schemas.openxmlformats.org/spreadsheetml/2006/main" count="90" uniqueCount="50">
  <si>
    <t>Lista de tareas de la iteración (Sprint Backlog): Instructivo</t>
  </si>
  <si>
    <t>Metodologías ágiles: Lista de tareas de la iteración</t>
  </si>
  <si>
    <t>Elaborado por: pmoinformatica.com</t>
  </si>
  <si>
    <t>Columna</t>
  </si>
  <si>
    <t>Instrucciones</t>
  </si>
  <si>
    <t>(Sprint Backlog)</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</si>
  <si>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</si>
  <si>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</si>
  <si>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Tarea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</si>
  <si>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</si>
  <si>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Dueño / Voluntario</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</si>
  <si>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</si>
  <si>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Estatus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</si>
  <si>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</si>
  <si>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Día 1</t>
  </si>
  <si>
    <t>Horas estimadas totales</t>
  </si>
  <si>
    <t>Horas que han sido estimadas por el equipo Scrum que serán necesarias para ejecutar la tarea. La asignación de estimados se realiza durante la reunión de planificación de la iteración (Sprint Planning Meeting).</t>
  </si>
  <si>
    <t>Día 2</t>
  </si>
  <si>
    <t>Día 1 …. Día n</t>
  </si>
  <si>
    <t>Una vez comienza a ejecutarse la iteración, se utilizan las columnas para llevar un registro de las horas que se han consumido en cada tarea y cuantas horas restan para completarla.</t>
  </si>
  <si>
    <t>Día 3</t>
  </si>
  <si>
    <t>Cons.</t>
  </si>
  <si>
    <t>Día 4</t>
  </si>
  <si>
    <t>Horas consumidas en la tarea en el día especificado.</t>
  </si>
  <si>
    <t>Día 5</t>
  </si>
  <si>
    <t>Rest.</t>
  </si>
  <si>
    <t>Horas que restan luego de registrarse el consumo diario. Se calcula tomando las horas que restaban el día anterior y se resta las horas consumidas en el día. Si se trata del primer día, se restan las horas del día 1 al estimado de horas totales.</t>
  </si>
  <si>
    <t>Día 6</t>
  </si>
  <si>
    <t>Día 7</t>
  </si>
  <si>
    <t>Total</t>
  </si>
  <si>
    <t>Registra la suma de todas las horas consumidas en el Sprint y las horas que restan finalmente. Las horas restantes deberían ser de cero si se logro ejecutar la tarea en su totalidad.</t>
  </si>
  <si>
    <t>Día 8</t>
  </si>
  <si>
    <t>Día 9</t>
  </si>
  <si>
    <t>Día 10</t>
  </si>
  <si>
    <t>Día 11</t>
  </si>
  <si>
    <t>Día 12</t>
  </si>
  <si>
    <t>Día 13</t>
  </si>
  <si>
    <t>Día 14</t>
  </si>
  <si>
    <t>Identificador (ID) de item de product backlog</t>
  </si>
  <si>
    <t>Enunciado del item de Product Backlog</t>
  </si>
  <si>
    <t>HU-04</t>
  </si>
  <si>
    <t>Como Desarrollador, necesito probar refactorizaciones y nuevos modelos de IA en un entorno de Staging aislado (staging-app.kyovantage.cl), con la finalidad de no poner en riesgo la disponibilidad del sistema en producción.</t>
  </si>
  <si>
    <t>[SP0-01] Configuración de zonas DNS y subdominios en NIC Chile y Vercel</t>
  </si>
  <si>
    <t>Nicolás Vargas</t>
  </si>
  <si>
    <t>Completado</t>
  </si>
  <si>
    <t>[SP0-02] Aislamiento y despliegue multientorno en Vercel (Staging / Prod)</t>
  </si>
  <si>
    <t>[SP0-03] Reestructuración y normalización del esquema de BD en Supabase</t>
  </si>
  <si>
    <t>Nicolás Vargas / Bruno Seguel</t>
  </si>
  <si>
    <t>[SP0-04] Validación de conectividad HTTPS y acceso a base de datos</t>
  </si>
  <si>
    <t>Angel Gomez</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</si>
</sst>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0" fillId="2" fontId="1" numFmtId="0" xfId="0" applyFill="1" applyFont="1"/>
    <xf borderId="2" fillId="2" fontId="1" numFmtId="0" xfId="0" applyAlignment="1" applyBorder="1" applyFill="1" applyFont="1">
      <alignment horizontal="left" shrinkToFit="0" vertical="top" wrapText="1"/>
    </xf>
    <xf borderId="3" fillId="3" fontId="4" numFmtId="0" xfId="0" applyAlignment="1" applyBorder="1" applyFill="1" applyFont="1">
      <alignment horizontal="center" shrinkToFit="0" vertical="center" wrapText="1"/>
    </xf>
    <xf borderId="4" fillId="0" fontId="5" numFmtId="0" xfId="0" applyBorder="1" applyFont="1"/>
    <xf borderId="5" fillId="3" fontId="4" numFmtId="0" xfId="0" applyAlignment="1" applyBorder="1" applyFill="1" applyFont="1">
      <alignment horizontal="center" shrinkToFit="0" vertical="center" wrapText="1"/>
    </xf>
    <xf borderId="2"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6" fillId="3" fontId="6" numFmtId="0" xfId="0" applyAlignment="1" applyBorder="1" applyFill="1" applyFont="1">
      <alignment horizontal="center" readingOrder="0" shrinkToFit="0" vertical="center" wrapText="1"/>
    </xf>
    <xf borderId="7" fillId="3" fontId="4" numFmtId="0" xfId="0" applyAlignment="1" applyBorder="1" applyFill="1" applyFont="1">
      <alignment horizontal="center" shrinkToFit="0" vertical="center" wrapText="1"/>
    </xf>
    <xf borderId="8" fillId="2" fontId="1" numFmtId="0" xfId="0" applyAlignment="1" applyBorder="1" applyFill="1" applyFont="1">
      <alignment horizontal="center" readingOrder="0" shrinkToFit="0" vertical="center" wrapText="1"/>
    </xf>
    <xf borderId="8" fillId="2" fontId="1" numFmtId="0" xfId="0" applyAlignment="1" applyBorder="1" applyFill="1" applyFont="1">
      <alignment horizontal="left" readingOrder="0" shrinkToFit="0" vertical="center" wrapText="1"/>
    </xf>
    <xf borderId="2" fillId="2" fontId="1" numFmtId="0" xfId="0" applyAlignment="1" applyBorder="1" applyFill="1" applyFont="1">
      <alignment horizontal="left" readingOrder="0" shrinkToFit="0" vertical="top" wrapText="1"/>
    </xf>
    <xf borderId="2" fillId="2" fontId="1" numFmtId="0" xfId="0" applyAlignment="1" applyBorder="1" applyFill="1" applyFont="1">
      <alignment horizontal="right" shrinkToFit="0" vertical="top" wrapText="1"/>
    </xf>
    <xf borderId="2" fillId="4" fontId="1" numFmtId="0" xfId="0" applyAlignment="1" applyBorder="1" applyFill="1" applyFont="1">
      <alignment horizontal="right" shrinkToFit="0" vertical="top" wrapText="1"/>
    </xf>
    <xf borderId="2" fillId="2" fontId="1" numFmtId="0" xfId="0" applyAlignment="1" applyBorder="1" applyFill="1" applyFont="1">
      <alignment horizontal="right" readingOrder="0" shrinkToFit="0" vertical="top" wrapText="1"/>
    </xf>
    <xf borderId="2" fillId="5" fontId="1" numFmtId="0" xfId="0" applyAlignment="1" applyBorder="1" applyFill="1" applyFont="1">
      <alignment horizontal="right" shrinkToFit="0" vertical="top" wrapText="1"/>
    </xf>
    <xf borderId="9" fillId="0" fontId="5" numFmtId="0" xfId="0" applyBorder="1" applyFont="1"/>
    <xf borderId="7"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1" width="5.43"/>
  </cols>
  <sheetData>
    <row r="1">
      <c r="A1" s="1"/>
      <c r="B1" s="2"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5"/>
      <c r="AY1" s="5"/>
    </row>
    <row r="2">
      <c r="A2" s="1"/>
      <c r="B2" s="2" t="s">
        <v>5</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5"/>
      <c r="AY2" s="5"/>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5"/>
      <c r="AY3" s="5"/>
    </row>
    <row r="4">
      <c r="A4" s="1"/>
      <c r="B4" s="1"/>
      <c r="C4" s="1"/>
      <c r="D4" s="1"/>
      <c r="E4" s="1"/>
      <c r="F4" s="1"/>
      <c r="G4" s="1"/>
      <c r="H4" s="7" t="s">
        <v>14</v>
      </c>
      <c r="I4" s="8"/>
      <c r="J4" s="9"/>
      <c r="K4" s="7" t="s">
        <v>17</v>
      </c>
      <c r="L4" s="8"/>
      <c r="M4" s="9"/>
      <c r="N4" s="7" t="s">
        <v>20</v>
      </c>
      <c r="O4" s="8"/>
      <c r="P4" s="9"/>
      <c r="Q4" s="7" t="s">
        <v>22</v>
      </c>
      <c r="R4" s="8"/>
      <c r="S4" s="9"/>
      <c r="T4" s="7" t="s">
        <v>24</v>
      </c>
      <c r="U4" s="8"/>
      <c r="V4" s="9"/>
      <c r="W4" s="7" t="s">
        <v>27</v>
      </c>
      <c r="X4" s="8"/>
      <c r="Y4" s="9"/>
      <c r="Z4" s="7" t="s">
        <v>28</v>
      </c>
      <c r="AA4" s="8"/>
      <c r="AB4" s="9"/>
      <c r="AC4" s="7" t="s">
        <v>31</v>
      </c>
      <c r="AD4" s="8"/>
      <c r="AE4" s="9"/>
      <c r="AF4" s="7" t="s">
        <v>32</v>
      </c>
      <c r="AG4" s="8"/>
      <c r="AH4" s="9"/>
      <c r="AI4" s="7" t="s">
        <v>33</v>
      </c>
      <c r="AJ4" s="8"/>
      <c r="AK4" s="9"/>
      <c r="AL4" s="7" t="s">
        <v>34</v>
      </c>
      <c r="AM4" s="8"/>
      <c r="AN4" s="9"/>
      <c r="AO4" s="7" t="s">
        <v>35</v>
      </c>
      <c r="AP4" s="8"/>
      <c r="AQ4" s="9"/>
      <c r="AR4" s="7" t="s">
        <v>36</v>
      </c>
      <c r="AS4" s="8"/>
      <c r="AT4" s="9"/>
      <c r="AU4" s="7" t="s">
        <v>37</v>
      </c>
      <c r="AV4" s="8"/>
      <c r="AW4" s="9"/>
      <c r="AX4" s="7" t="s">
        <v>29</v>
      </c>
      <c r="AY4" s="8"/>
    </row>
    <row r="5">
      <c r="A5" s="1"/>
      <c r="B5" s="10" t="s">
        <v>38</v>
      </c>
      <c r="C5" s="10" t="s">
        <v>39</v>
      </c>
      <c r="D5" s="10" t="s">
        <v>8</v>
      </c>
      <c r="E5" s="10" t="s">
        <v>10</v>
      </c>
      <c r="F5" s="10" t="s">
        <v>12</v>
      </c>
      <c r="G5" s="10" t="s">
        <v>15</v>
      </c>
      <c r="H5" s="11" t="s">
        <v>21</v>
      </c>
      <c r="I5" s="12" t="s">
        <v>25</v>
      </c>
      <c r="J5" s="11"/>
      <c r="K5" s="11" t="s">
        <v>21</v>
      </c>
      <c r="L5" s="11" t="s">
        <v>25</v>
      </c>
      <c r="M5" s="11"/>
      <c r="N5" s="11" t="s">
        <v>21</v>
      </c>
      <c r="O5" s="11" t="s">
        <v>25</v>
      </c>
      <c r="P5" s="11"/>
      <c r="Q5" s="11" t="s">
        <v>21</v>
      </c>
      <c r="R5" s="11" t="s">
        <v>25</v>
      </c>
      <c r="S5" s="11"/>
      <c r="T5" s="11" t="s">
        <v>21</v>
      </c>
      <c r="U5" s="11" t="s">
        <v>25</v>
      </c>
      <c r="V5" s="11"/>
      <c r="W5" s="11" t="s">
        <v>21</v>
      </c>
      <c r="X5" s="11" t="s">
        <v>25</v>
      </c>
      <c r="Y5" s="11"/>
      <c r="Z5" s="11" t="s">
        <v>21</v>
      </c>
      <c r="AA5" s="11" t="s">
        <v>25</v>
      </c>
      <c r="AB5" s="11"/>
      <c r="AC5" s="11" t="s">
        <v>21</v>
      </c>
      <c r="AD5" s="11" t="s">
        <v>25</v>
      </c>
      <c r="AE5" s="11"/>
      <c r="AF5" s="11" t="s">
        <v>21</v>
      </c>
      <c r="AG5" s="11" t="s">
        <v>25</v>
      </c>
      <c r="AH5" s="11"/>
      <c r="AI5" s="11" t="s">
        <v>21</v>
      </c>
      <c r="AJ5" s="11" t="s">
        <v>25</v>
      </c>
      <c r="AK5" s="11"/>
      <c r="AL5" s="11" t="s">
        <v>21</v>
      </c>
      <c r="AM5" s="11" t="s">
        <v>25</v>
      </c>
      <c r="AN5" s="11"/>
      <c r="AO5" s="11" t="s">
        <v>21</v>
      </c>
      <c r="AP5" s="11" t="s">
        <v>25</v>
      </c>
      <c r="AQ5" s="11"/>
      <c r="AR5" s="11" t="s">
        <v>21</v>
      </c>
      <c r="AS5" s="11" t="s">
        <v>25</v>
      </c>
      <c r="AT5" s="11"/>
      <c r="AU5" s="11" t="s">
        <v>21</v>
      </c>
      <c r="AV5" s="11" t="s">
        <v>25</v>
      </c>
      <c r="AW5" s="11"/>
      <c r="AX5" s="13" t="s">
        <v>21</v>
      </c>
      <c r="AY5" s="13" t="s">
        <v>25</v>
      </c>
    </row>
    <row r="6">
      <c r="A6" s="1"/>
      <c r="B6" s="14" t="s">
        <v>40</v>
      </c>
      <c r="C6" s="15" t="s">
        <v>41</v>
      </c>
      <c r="D6" s="16" t="s">
        <v>42</v>
      </c>
      <c r="E6" s="16" t="s">
        <v>43</v>
      </c>
      <c r="F6" s="16" t="s">
        <v>44</v>
      </c>
      <c r="G6" s="16">
        <v>6.0</v>
      </c>
      <c r="H6" s="17"/>
      <c r="I6" s="17">
        <f t="shared" ref="I6:I9" si="1">G6-H6</f>
        <v>6</v>
      </c>
      <c r="J6" s="18"/>
      <c r="K6" s="19">
        <v>2.0</v>
      </c>
      <c r="L6" s="17">
        <f t="shared" ref="L6:L9" si="2">I6-K6</f>
        <v>4</v>
      </c>
      <c r="M6" s="18"/>
      <c r="N6" s="19">
        <v>4.0</v>
      </c>
      <c r="O6" s="17">
        <f t="shared" ref="O6:O9" si="3">L6-N6</f>
        <v>0</v>
      </c>
      <c r="P6" s="18"/>
      <c r="Q6" s="17"/>
      <c r="R6" s="17">
        <f t="shared" ref="R6:R9" si="4">O6-Q6</f>
        <v>0</v>
      </c>
      <c r="S6" s="18"/>
      <c r="T6" s="17"/>
      <c r="U6" s="17">
        <f t="shared" ref="U6:U9" si="5">R6-T6</f>
        <v>0</v>
      </c>
      <c r="V6" s="18"/>
      <c r="W6" s="17"/>
      <c r="X6" s="17">
        <f t="shared" ref="X6:X9" si="6">U6-W6</f>
        <v>0</v>
      </c>
      <c r="Y6" s="18"/>
      <c r="Z6" s="17"/>
      <c r="AA6" s="17">
        <f t="shared" ref="AA6:AA9" si="7">X6-Z6</f>
        <v>0</v>
      </c>
      <c r="AB6" s="18"/>
      <c r="AC6" s="17"/>
      <c r="AD6" s="17">
        <f t="shared" ref="AD6:AD9" si="8">AA6-AC6</f>
        <v>0</v>
      </c>
      <c r="AE6" s="18"/>
      <c r="AF6" s="17"/>
      <c r="AG6" s="17">
        <f t="shared" ref="AG6:AG9" si="9">AD6-AF6</f>
        <v>0</v>
      </c>
      <c r="AH6" s="18"/>
      <c r="AI6" s="17"/>
      <c r="AJ6" s="17">
        <f t="shared" ref="AJ6:AJ9" si="10">AG6-AI6</f>
        <v>0</v>
      </c>
      <c r="AK6" s="18"/>
      <c r="AL6" s="17"/>
      <c r="AM6" s="17">
        <f t="shared" ref="AM6:AM9" si="11">AJ6-AL6</f>
        <v>0</v>
      </c>
      <c r="AN6" s="18"/>
      <c r="AO6" s="17"/>
      <c r="AP6" s="17">
        <f t="shared" ref="AP6:AP9" si="12">AM6-AO6</f>
        <v>0</v>
      </c>
      <c r="AQ6" s="18"/>
      <c r="AR6" s="17"/>
      <c r="AS6" s="17">
        <f t="shared" ref="AS6:AS9" si="13">AP6-AR6</f>
        <v>0</v>
      </c>
      <c r="AT6" s="18"/>
      <c r="AU6" s="17"/>
      <c r="AV6" s="17">
        <f t="shared" ref="AV6:AV9" si="14">AS6-AU6</f>
        <v>0</v>
      </c>
      <c r="AW6" s="18"/>
      <c r="AX6" s="20">
        <f t="shared" ref="AX6:AX9" si="15">K6+N6+Q6+T6+W6+Z6+AC6+AF6+AI6+AL6+AO6+AR6+AU6</f>
        <v>6</v>
      </c>
      <c r="AY6" s="20">
        <f t="shared" ref="AY6:AY9" si="16">I6-AX6</f>
        <v>0</v>
      </c>
    </row>
    <row r="7">
      <c r="A7" s="1"/>
      <c r="B7" s="21"/>
      <c r="C7" s="21"/>
      <c r="D7" s="16" t="s">
        <v>45</v>
      </c>
      <c r="E7" s="16" t="s">
        <v>43</v>
      </c>
      <c r="F7" s="16" t="s">
        <v>44</v>
      </c>
      <c r="G7" s="16">
        <v>6.0</v>
      </c>
      <c r="H7" s="17"/>
      <c r="I7" s="17">
        <f t="shared" si="1"/>
        <v>6</v>
      </c>
      <c r="J7" s="18"/>
      <c r="K7" s="17"/>
      <c r="L7" s="17">
        <f t="shared" si="2"/>
        <v>6</v>
      </c>
      <c r="M7" s="18"/>
      <c r="N7" s="17"/>
      <c r="O7" s="17">
        <f t="shared" si="3"/>
        <v>6</v>
      </c>
      <c r="P7" s="18"/>
      <c r="Q7" s="19">
        <v>2.0</v>
      </c>
      <c r="R7" s="17">
        <f t="shared" si="4"/>
        <v>4</v>
      </c>
      <c r="S7" s="18"/>
      <c r="T7" s="19">
        <v>4.0</v>
      </c>
      <c r="U7" s="17">
        <f t="shared" si="5"/>
        <v>0</v>
      </c>
      <c r="V7" s="18"/>
      <c r="W7" s="17"/>
      <c r="X7" s="17">
        <f t="shared" si="6"/>
        <v>0</v>
      </c>
      <c r="Y7" s="18"/>
      <c r="Z7" s="17"/>
      <c r="AA7" s="17">
        <f t="shared" si="7"/>
        <v>0</v>
      </c>
      <c r="AB7" s="18"/>
      <c r="AC7" s="17"/>
      <c r="AD7" s="17">
        <f t="shared" si="8"/>
        <v>0</v>
      </c>
      <c r="AE7" s="18"/>
      <c r="AF7" s="17"/>
      <c r="AG7" s="17">
        <f t="shared" si="9"/>
        <v>0</v>
      </c>
      <c r="AH7" s="18"/>
      <c r="AI7" s="17"/>
      <c r="AJ7" s="17">
        <f t="shared" si="10"/>
        <v>0</v>
      </c>
      <c r="AK7" s="18"/>
      <c r="AL7" s="17"/>
      <c r="AM7" s="17">
        <f t="shared" si="11"/>
        <v>0</v>
      </c>
      <c r="AN7" s="18"/>
      <c r="AO7" s="17"/>
      <c r="AP7" s="17">
        <f t="shared" si="12"/>
        <v>0</v>
      </c>
      <c r="AQ7" s="18"/>
      <c r="AR7" s="17"/>
      <c r="AS7" s="17">
        <f t="shared" si="13"/>
        <v>0</v>
      </c>
      <c r="AT7" s="18"/>
      <c r="AU7" s="17"/>
      <c r="AV7" s="17">
        <f t="shared" si="14"/>
        <v>0</v>
      </c>
      <c r="AW7" s="18"/>
      <c r="AX7" s="20">
        <f t="shared" si="15"/>
        <v>6</v>
      </c>
      <c r="AY7" s="20">
        <f t="shared" si="16"/>
        <v>0</v>
      </c>
    </row>
    <row r="8">
      <c r="A8" s="1"/>
      <c r="B8" s="21"/>
      <c r="C8" s="21"/>
      <c r="D8" s="16" t="s">
        <v>46</v>
      </c>
      <c r="E8" s="16" t="s">
        <v>47</v>
      </c>
      <c r="F8" s="16" t="s">
        <v>44</v>
      </c>
      <c r="G8" s="16">
        <v>12.0</v>
      </c>
      <c r="H8" s="17"/>
      <c r="I8" s="17">
        <f t="shared" si="1"/>
        <v>12</v>
      </c>
      <c r="J8" s="18"/>
      <c r="K8" s="17"/>
      <c r="L8" s="17">
        <f t="shared" si="2"/>
        <v>12</v>
      </c>
      <c r="M8" s="18"/>
      <c r="N8" s="19">
        <v>2.0</v>
      </c>
      <c r="O8" s="17">
        <f t="shared" si="3"/>
        <v>10</v>
      </c>
      <c r="P8" s="18"/>
      <c r="Q8" s="19">
        <v>3.0</v>
      </c>
      <c r="R8" s="17">
        <f t="shared" si="4"/>
        <v>7</v>
      </c>
      <c r="S8" s="18"/>
      <c r="T8" s="19">
        <v>4.0</v>
      </c>
      <c r="U8" s="17">
        <f t="shared" si="5"/>
        <v>3</v>
      </c>
      <c r="V8" s="18"/>
      <c r="W8" s="19">
        <v>3.0</v>
      </c>
      <c r="X8" s="17">
        <f t="shared" si="6"/>
        <v>0</v>
      </c>
      <c r="Y8" s="18"/>
      <c r="Z8" s="17"/>
      <c r="AA8" s="17">
        <f t="shared" si="7"/>
        <v>0</v>
      </c>
      <c r="AB8" s="18"/>
      <c r="AC8" s="17"/>
      <c r="AD8" s="17">
        <f t="shared" si="8"/>
        <v>0</v>
      </c>
      <c r="AE8" s="18"/>
      <c r="AF8" s="17"/>
      <c r="AG8" s="17">
        <f t="shared" si="9"/>
        <v>0</v>
      </c>
      <c r="AH8" s="18"/>
      <c r="AI8" s="17"/>
      <c r="AJ8" s="17">
        <f t="shared" si="10"/>
        <v>0</v>
      </c>
      <c r="AK8" s="18"/>
      <c r="AL8" s="17"/>
      <c r="AM8" s="17">
        <f t="shared" si="11"/>
        <v>0</v>
      </c>
      <c r="AN8" s="18"/>
      <c r="AO8" s="17"/>
      <c r="AP8" s="17">
        <f t="shared" si="12"/>
        <v>0</v>
      </c>
      <c r="AQ8" s="18"/>
      <c r="AR8" s="17"/>
      <c r="AS8" s="17">
        <f t="shared" si="13"/>
        <v>0</v>
      </c>
      <c r="AT8" s="18"/>
      <c r="AU8" s="17"/>
      <c r="AV8" s="17">
        <f t="shared" si="14"/>
        <v>0</v>
      </c>
      <c r="AW8" s="18"/>
      <c r="AX8" s="20">
        <f t="shared" si="15"/>
        <v>12</v>
      </c>
      <c r="AY8" s="20">
        <f t="shared" si="16"/>
        <v>0</v>
      </c>
    </row>
    <row r="9">
      <c r="A9" s="1"/>
      <c r="B9" s="22"/>
      <c r="C9" s="22"/>
      <c r="D9" s="16" t="s">
        <v>48</v>
      </c>
      <c r="E9" s="16" t="s">
        <v>49</v>
      </c>
      <c r="F9" s="16" t="s">
        <v>44</v>
      </c>
      <c r="G9" s="16">
        <v>6.0</v>
      </c>
      <c r="H9" s="17"/>
      <c r="I9" s="17">
        <f t="shared" si="1"/>
        <v>6</v>
      </c>
      <c r="J9" s="18"/>
      <c r="K9" s="17"/>
      <c r="L9" s="17">
        <f t="shared" si="2"/>
        <v>6</v>
      </c>
      <c r="M9" s="18"/>
      <c r="N9" s="17"/>
      <c r="O9" s="17">
        <f t="shared" si="3"/>
        <v>6</v>
      </c>
      <c r="P9" s="18"/>
      <c r="Q9" s="17"/>
      <c r="R9" s="17">
        <f t="shared" si="4"/>
        <v>6</v>
      </c>
      <c r="S9" s="18"/>
      <c r="T9" s="17"/>
      <c r="U9" s="17">
        <f t="shared" si="5"/>
        <v>6</v>
      </c>
      <c r="V9" s="18"/>
      <c r="W9" s="19">
        <v>2.0</v>
      </c>
      <c r="X9" s="17">
        <f t="shared" si="6"/>
        <v>4</v>
      </c>
      <c r="Y9" s="18"/>
      <c r="Z9" s="19">
        <v>4.0</v>
      </c>
      <c r="AA9" s="17">
        <f t="shared" si="7"/>
        <v>0</v>
      </c>
      <c r="AB9" s="18"/>
      <c r="AC9" s="17"/>
      <c r="AD9" s="17">
        <f t="shared" si="8"/>
        <v>0</v>
      </c>
      <c r="AE9" s="18"/>
      <c r="AF9" s="17"/>
      <c r="AG9" s="17">
        <f t="shared" si="9"/>
        <v>0</v>
      </c>
      <c r="AH9" s="18"/>
      <c r="AI9" s="17"/>
      <c r="AJ9" s="17">
        <f t="shared" si="10"/>
        <v>0</v>
      </c>
      <c r="AK9" s="18"/>
      <c r="AL9" s="17"/>
      <c r="AM9" s="17">
        <f t="shared" si="11"/>
        <v>0</v>
      </c>
      <c r="AN9" s="18"/>
      <c r="AO9" s="17"/>
      <c r="AP9" s="17">
        <f t="shared" si="12"/>
        <v>0</v>
      </c>
      <c r="AQ9" s="18"/>
      <c r="AR9" s="17"/>
      <c r="AS9" s="17">
        <f t="shared" si="13"/>
        <v>0</v>
      </c>
      <c r="AT9" s="18"/>
      <c r="AU9" s="17"/>
      <c r="AV9" s="17">
        <f t="shared" si="14"/>
        <v>0</v>
      </c>
      <c r="AW9" s="18"/>
      <c r="AX9" s="20">
        <f t="shared" si="15"/>
        <v>6</v>
      </c>
      <c r="AY9" s="20">
        <f t="shared" si="16"/>
        <v>0</v>
      </c>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5"/>
      <c r="AY10" s="5"/>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5"/>
      <c r="AY11" s="5"/>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5"/>
      <c r="AY12" s="5"/>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5"/>
      <c r="AY13" s="5"/>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5"/>
      <c r="AY14" s="5"/>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5"/>
      <c r="AY15" s="5"/>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5"/>
      <c r="AY16" s="5"/>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5"/>
      <c r="AY17" s="5"/>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5"/>
      <c r="AY18" s="5"/>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5"/>
      <c r="AY19" s="5"/>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5"/>
      <c r="AY20" s="5"/>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5"/>
      <c r="AY21" s="5"/>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5"/>
      <c r="AY22" s="5"/>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5"/>
      <c r="AY23" s="5"/>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5"/>
      <c r="AY24" s="5"/>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5"/>
      <c r="AY25" s="5"/>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5"/>
      <c r="AY26" s="5"/>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5"/>
      <c r="AY27" s="5"/>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5"/>
      <c r="AY28" s="5"/>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5"/>
      <c r="AY29" s="5"/>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5"/>
      <c r="AY30" s="5"/>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5"/>
      <c r="AY31" s="5"/>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5"/>
      <c r="AY32" s="5"/>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5"/>
      <c r="AY33" s="5"/>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5"/>
      <c r="AY34" s="5"/>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5"/>
      <c r="AY35" s="5"/>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5"/>
      <c r="AY36" s="5"/>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5"/>
      <c r="AY37" s="5"/>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5"/>
      <c r="AY38" s="5"/>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5"/>
      <c r="AY39" s="5"/>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5"/>
      <c r="AY40" s="5"/>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5"/>
      <c r="AY41" s="5"/>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5"/>
      <c r="AY42" s="5"/>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5"/>
      <c r="AY43" s="5"/>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5"/>
      <c r="AY44" s="5"/>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5"/>
      <c r="AY45" s="5"/>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5"/>
      <c r="AY46" s="5"/>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5"/>
      <c r="AY47" s="5"/>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5"/>
      <c r="AY48" s="5"/>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5"/>
      <c r="AY49" s="5"/>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5"/>
      <c r="AY50" s="5"/>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5"/>
      <c r="AY51" s="5"/>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5"/>
      <c r="AY52" s="5"/>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5"/>
      <c r="AY53" s="5"/>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5"/>
      <c r="AY54" s="5"/>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5"/>
      <c r="AY55" s="5"/>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5"/>
      <c r="AY56" s="5"/>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5"/>
      <c r="AY57" s="5"/>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5"/>
      <c r="AY58" s="5"/>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5"/>
      <c r="AY59" s="5"/>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5"/>
      <c r="AY60" s="5"/>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5"/>
      <c r="AY61" s="5"/>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5"/>
      <c r="AY62" s="5"/>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5"/>
      <c r="AY63" s="5"/>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5"/>
      <c r="AY64" s="5"/>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5"/>
      <c r="AY65" s="5"/>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5"/>
      <c r="AY66" s="5"/>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5"/>
      <c r="AY67" s="5"/>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5"/>
      <c r="AY68" s="5"/>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5"/>
      <c r="AY69" s="5"/>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5"/>
      <c r="AY70" s="5"/>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5"/>
      <c r="AY71" s="5"/>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5"/>
      <c r="AY72" s="5"/>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5"/>
      <c r="AY73" s="5"/>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5"/>
      <c r="AY74" s="5"/>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5"/>
      <c r="AY75" s="5"/>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5"/>
      <c r="AY76" s="5"/>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5"/>
      <c r="AY77" s="5"/>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5"/>
      <c r="AY78" s="5"/>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5"/>
      <c r="AY79" s="5"/>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5"/>
      <c r="AY80" s="5"/>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5"/>
      <c r="AY81" s="5"/>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5"/>
      <c r="AY82" s="5"/>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5"/>
      <c r="AY83" s="5"/>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5"/>
      <c r="AY84" s="5"/>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5"/>
      <c r="AY85" s="5"/>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5"/>
      <c r="AY86" s="5"/>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5"/>
      <c r="AY87" s="5"/>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5"/>
      <c r="AY88" s="5"/>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5"/>
      <c r="AY89" s="5"/>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5"/>
      <c r="AY90" s="5"/>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5"/>
      <c r="AY91" s="5"/>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5"/>
      <c r="AY92" s="5"/>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5"/>
      <c r="AY93" s="5"/>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5"/>
      <c r="AY94" s="5"/>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5"/>
      <c r="AY95" s="5"/>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5"/>
      <c r="AY96" s="5"/>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5"/>
      <c r="AY97" s="5"/>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5"/>
      <c r="AY98" s="5"/>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5"/>
      <c r="AY99" s="5"/>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5"/>
      <c r="AY100" s="5"/>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5"/>
      <c r="AY101" s="5"/>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5"/>
      <c r="AY102" s="5"/>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5"/>
      <c r="AY103" s="5"/>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5"/>
      <c r="AY104" s="5"/>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5"/>
      <c r="AY105" s="5"/>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5"/>
      <c r="AY106" s="5"/>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5"/>
      <c r="AY107" s="5"/>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5"/>
      <c r="AY108" s="5"/>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5"/>
      <c r="AY109" s="5"/>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5"/>
      <c r="AY110" s="5"/>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5"/>
      <c r="AY111" s="5"/>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5"/>
      <c r="AY112" s="5"/>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5"/>
      <c r="AY113" s="5"/>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5"/>
      <c r="AY114" s="5"/>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5"/>
      <c r="AY115" s="5"/>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5"/>
      <c r="AY116" s="5"/>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5"/>
      <c r="AY117" s="5"/>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5"/>
      <c r="AY118" s="5"/>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5"/>
      <c r="AY119" s="5"/>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5"/>
      <c r="AY120" s="5"/>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5"/>
      <c r="AY121" s="5"/>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5"/>
      <c r="AY122" s="5"/>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5"/>
      <c r="AY123" s="5"/>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5"/>
      <c r="AY124" s="5"/>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5"/>
      <c r="AY125" s="5"/>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5"/>
      <c r="AY126" s="5"/>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5"/>
      <c r="AY127" s="5"/>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5"/>
      <c r="AY128" s="5"/>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5"/>
      <c r="AY129" s="5"/>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5"/>
      <c r="AY130" s="5"/>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5"/>
      <c r="AY131" s="5"/>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5"/>
      <c r="AY132" s="5"/>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5"/>
      <c r="AY133" s="5"/>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5"/>
      <c r="AY134" s="5"/>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5"/>
      <c r="AY135" s="5"/>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5"/>
      <c r="AY136" s="5"/>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5"/>
      <c r="AY137" s="5"/>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5"/>
      <c r="AY138" s="5"/>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5"/>
      <c r="AY139" s="5"/>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5"/>
      <c r="AY140" s="5"/>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5"/>
      <c r="AY141" s="5"/>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5"/>
      <c r="AY142" s="5"/>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5"/>
      <c r="AY143" s="5"/>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5"/>
      <c r="AY144" s="5"/>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5"/>
      <c r="AY145" s="5"/>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5"/>
      <c r="AY146" s="5"/>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5"/>
      <c r="AY147" s="5"/>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5"/>
      <c r="AY148" s="5"/>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5"/>
      <c r="AY149" s="5"/>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5"/>
      <c r="AY150" s="5"/>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5"/>
      <c r="AY151" s="5"/>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5"/>
      <c r="AY152" s="5"/>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5"/>
      <c r="AY153" s="5"/>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5"/>
      <c r="AY154" s="5"/>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5"/>
      <c r="AY155" s="5"/>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5"/>
      <c r="AY156" s="5"/>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5"/>
      <c r="AY157" s="5"/>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5"/>
      <c r="AY158" s="5"/>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5"/>
      <c r="AY159" s="5"/>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5"/>
      <c r="AY160" s="5"/>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5"/>
      <c r="AY161" s="5"/>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5"/>
      <c r="AY162" s="5"/>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5"/>
      <c r="AY163" s="5"/>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5"/>
      <c r="AY164" s="5"/>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5"/>
      <c r="AY165" s="5"/>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5"/>
      <c r="AY166" s="5"/>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5"/>
      <c r="AY167" s="5"/>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5"/>
      <c r="AY168" s="5"/>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5"/>
      <c r="AY169" s="5"/>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5"/>
      <c r="AY170" s="5"/>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5"/>
      <c r="AY171" s="5"/>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5"/>
      <c r="AY172" s="5"/>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5"/>
      <c r="AY173" s="5"/>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5"/>
      <c r="AY174" s="5"/>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5"/>
      <c r="AY175" s="5"/>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5"/>
      <c r="AY176" s="5"/>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5"/>
      <c r="AY177" s="5"/>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5"/>
      <c r="AY178" s="5"/>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5"/>
      <c r="AY179" s="5"/>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5"/>
      <c r="AY180" s="5"/>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5"/>
      <c r="AY181" s="5"/>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5"/>
      <c r="AY182" s="5"/>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5"/>
      <c r="AY183" s="5"/>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5"/>
      <c r="AY184" s="5"/>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5"/>
      <c r="AY185" s="5"/>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5"/>
      <c r="AY186" s="5"/>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5"/>
      <c r="AY187" s="5"/>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5"/>
      <c r="AY188" s="5"/>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5"/>
      <c r="AY189" s="5"/>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5"/>
      <c r="AY190" s="5"/>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5"/>
      <c r="AY191" s="5"/>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5"/>
      <c r="AY192" s="5"/>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5"/>
      <c r="AY193" s="5"/>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5"/>
      <c r="AY194" s="5"/>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5"/>
      <c r="AY195" s="5"/>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5"/>
      <c r="AY196" s="5"/>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5"/>
      <c r="AY197" s="5"/>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5"/>
      <c r="AY198" s="5"/>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5"/>
      <c r="AY199" s="5"/>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5"/>
      <c r="AY200" s="5"/>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5"/>
      <c r="AY201" s="5"/>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5"/>
      <c r="AY202" s="5"/>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5"/>
      <c r="AY203" s="5"/>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5"/>
      <c r="AY204" s="5"/>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5"/>
      <c r="AY205" s="5"/>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5"/>
      <c r="AY206" s="5"/>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5"/>
      <c r="AY207" s="5"/>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5"/>
      <c r="AY208" s="5"/>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5"/>
      <c r="AY209" s="5"/>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5"/>
      <c r="AY210" s="5"/>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5"/>
      <c r="AY211" s="5"/>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5"/>
      <c r="AY212" s="5"/>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5"/>
      <c r="AY213" s="5"/>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5"/>
      <c r="AY214" s="5"/>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5"/>
      <c r="AY215" s="5"/>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5"/>
      <c r="AY216" s="5"/>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5"/>
      <c r="AY217" s="5"/>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5"/>
      <c r="AY218" s="5"/>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5"/>
      <c r="AY219" s="5"/>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5"/>
      <c r="AY220" s="5"/>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5"/>
      <c r="AY221" s="5"/>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5"/>
      <c r="AY222" s="5"/>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5"/>
      <c r="AY223" s="5"/>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5"/>
      <c r="AY224" s="5"/>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5"/>
      <c r="AY225" s="5"/>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5"/>
      <c r="AY226" s="5"/>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5"/>
      <c r="AY227" s="5"/>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5"/>
      <c r="AY228" s="5"/>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5"/>
      <c r="AY229" s="5"/>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5"/>
      <c r="AY230" s="5"/>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5"/>
      <c r="AY231" s="5"/>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5"/>
      <c r="AY232" s="5"/>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5"/>
      <c r="AY233" s="5"/>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5"/>
      <c r="AY234" s="5"/>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5"/>
      <c r="AY235" s="5"/>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5"/>
      <c r="AY236" s="5"/>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5"/>
      <c r="AY237" s="5"/>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5"/>
      <c r="AY238" s="5"/>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5"/>
      <c r="AY239" s="5"/>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5"/>
      <c r="AY240" s="5"/>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5"/>
      <c r="AY241" s="5"/>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5"/>
      <c r="AY242" s="5"/>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5"/>
      <c r="AY243" s="5"/>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5"/>
      <c r="AY244" s="5"/>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5"/>
      <c r="AY245" s="5"/>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5"/>
      <c r="AY246" s="5"/>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5"/>
      <c r="AY247" s="5"/>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5"/>
      <c r="AY248" s="5"/>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5"/>
      <c r="AY249" s="5"/>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5"/>
      <c r="AY250" s="5"/>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5"/>
      <c r="AY251" s="5"/>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5"/>
      <c r="AY252" s="5"/>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5"/>
      <c r="AY253" s="5"/>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5"/>
      <c r="AY254" s="5"/>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5"/>
      <c r="AY255" s="5"/>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5"/>
      <c r="AY256" s="5"/>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5"/>
      <c r="AY257" s="5"/>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5"/>
      <c r="AY258" s="5"/>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5"/>
      <c r="AY259" s="5"/>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5"/>
      <c r="AY260" s="5"/>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5"/>
      <c r="AY261" s="5"/>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5"/>
      <c r="AY262" s="5"/>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5"/>
      <c r="AY263" s="5"/>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5"/>
      <c r="AY264" s="5"/>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5"/>
      <c r="AY265" s="5"/>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5"/>
      <c r="AY266" s="5"/>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5"/>
      <c r="AY267" s="5"/>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5"/>
      <c r="AY268" s="5"/>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5"/>
      <c r="AY269" s="5"/>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5"/>
      <c r="AY270" s="5"/>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5"/>
      <c r="AY271" s="5"/>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5"/>
      <c r="AY272" s="5"/>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5"/>
      <c r="AY273" s="5"/>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5"/>
      <c r="AY274" s="5"/>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5"/>
      <c r="AY275" s="5"/>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5"/>
      <c r="AY276" s="5"/>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5"/>
      <c r="AY277" s="5"/>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5"/>
      <c r="AY278" s="5"/>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5"/>
      <c r="AY279" s="5"/>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5"/>
      <c r="AY280" s="5"/>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5"/>
      <c r="AY281" s="5"/>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5"/>
      <c r="AY282" s="5"/>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5"/>
      <c r="AY283" s="5"/>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5"/>
      <c r="AY284" s="5"/>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5"/>
      <c r="AY285" s="5"/>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5"/>
      <c r="AY286" s="5"/>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5"/>
      <c r="AY287" s="5"/>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5"/>
      <c r="AY288" s="5"/>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5"/>
      <c r="AY289" s="5"/>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5"/>
      <c r="AY290" s="5"/>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5"/>
      <c r="AY291" s="5"/>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5"/>
      <c r="AY292" s="5"/>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5"/>
      <c r="AY293" s="5"/>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5"/>
      <c r="AY294" s="5"/>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5"/>
      <c r="AY295" s="5"/>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5"/>
      <c r="AY296" s="5"/>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5"/>
      <c r="AY297" s="5"/>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5"/>
      <c r="AY298" s="5"/>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5"/>
      <c r="AY299" s="5"/>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5"/>
      <c r="AY300" s="5"/>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5"/>
      <c r="AY301" s="5"/>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5"/>
      <c r="AY302" s="5"/>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5"/>
      <c r="AY303" s="5"/>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5"/>
      <c r="AY304" s="5"/>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5"/>
      <c r="AY305" s="5"/>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5"/>
      <c r="AY306" s="5"/>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5"/>
      <c r="AY307" s="5"/>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5"/>
      <c r="AY308" s="5"/>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5"/>
      <c r="AY309" s="5"/>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5"/>
      <c r="AY310" s="5"/>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5"/>
      <c r="AY311" s="5"/>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5"/>
      <c r="AY312" s="5"/>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5"/>
      <c r="AY313" s="5"/>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5"/>
      <c r="AY314" s="5"/>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5"/>
      <c r="AY315" s="5"/>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5"/>
      <c r="AY316" s="5"/>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5"/>
      <c r="AY317" s="5"/>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5"/>
      <c r="AY318" s="5"/>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5"/>
      <c r="AY319" s="5"/>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5"/>
      <c r="AY320" s="5"/>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5"/>
      <c r="AY321" s="5"/>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5"/>
      <c r="AY322" s="5"/>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5"/>
      <c r="AY323" s="5"/>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5"/>
      <c r="AY324" s="5"/>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5"/>
      <c r="AY325" s="5"/>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5"/>
      <c r="AY326" s="5"/>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5"/>
      <c r="AY327" s="5"/>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5"/>
      <c r="AY328" s="5"/>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5"/>
      <c r="AY329" s="5"/>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5"/>
      <c r="AY330" s="5"/>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5"/>
      <c r="AY331" s="5"/>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5"/>
      <c r="AY332" s="5"/>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5"/>
      <c r="AY333" s="5"/>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5"/>
      <c r="AY334" s="5"/>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5"/>
      <c r="AY335" s="5"/>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5"/>
      <c r="AY336" s="5"/>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5"/>
      <c r="AY337" s="5"/>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5"/>
      <c r="AY338" s="5"/>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5"/>
      <c r="AY339" s="5"/>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5"/>
      <c r="AY340" s="5"/>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5"/>
      <c r="AY341" s="5"/>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5"/>
      <c r="AY342" s="5"/>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5"/>
      <c r="AY343" s="5"/>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5"/>
      <c r="AY344" s="5"/>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5"/>
      <c r="AY345" s="5"/>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5"/>
      <c r="AY346" s="5"/>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5"/>
      <c r="AY347" s="5"/>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5"/>
      <c r="AY348" s="5"/>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5"/>
      <c r="AY349" s="5"/>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5"/>
      <c r="AY350" s="5"/>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5"/>
      <c r="AY351" s="5"/>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5"/>
      <c r="AY352" s="5"/>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5"/>
      <c r="AY353" s="5"/>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5"/>
      <c r="AY354" s="5"/>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5"/>
      <c r="AY355" s="5"/>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5"/>
      <c r="AY356" s="5"/>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5"/>
      <c r="AY357" s="5"/>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5"/>
      <c r="AY358" s="5"/>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5"/>
      <c r="AY359" s="5"/>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5"/>
      <c r="AY360" s="5"/>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5"/>
      <c r="AY361" s="5"/>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5"/>
      <c r="AY362" s="5"/>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5"/>
      <c r="AY363" s="5"/>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5"/>
      <c r="AY364" s="5"/>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5"/>
      <c r="AY365" s="5"/>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5"/>
      <c r="AY366" s="5"/>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5"/>
      <c r="AY367" s="5"/>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5"/>
      <c r="AY368" s="5"/>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5"/>
      <c r="AY369" s="5"/>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5"/>
      <c r="AY370" s="5"/>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5"/>
      <c r="AY371" s="5"/>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5"/>
      <c r="AY372" s="5"/>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5"/>
      <c r="AY373" s="5"/>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5"/>
      <c r="AY374" s="5"/>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5"/>
      <c r="AY375" s="5"/>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5"/>
      <c r="AY376" s="5"/>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5"/>
      <c r="AY377" s="5"/>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5"/>
      <c r="AY378" s="5"/>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5"/>
      <c r="AY379" s="5"/>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5"/>
      <c r="AY380" s="5"/>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5"/>
      <c r="AY381" s="5"/>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5"/>
      <c r="AY382" s="5"/>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5"/>
      <c r="AY383" s="5"/>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5"/>
      <c r="AY384" s="5"/>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5"/>
      <c r="AY385" s="5"/>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5"/>
      <c r="AY386" s="5"/>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5"/>
      <c r="AY387" s="5"/>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5"/>
      <c r="AY388" s="5"/>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5"/>
      <c r="AY389" s="5"/>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5"/>
      <c r="AY390" s="5"/>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5"/>
      <c r="AY391" s="5"/>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5"/>
      <c r="AY392" s="5"/>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5"/>
      <c r="AY393" s="5"/>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5"/>
      <c r="AY394" s="5"/>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5"/>
      <c r="AY395" s="5"/>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5"/>
      <c r="AY396" s="5"/>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5"/>
      <c r="AY397" s="5"/>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5"/>
      <c r="AY398" s="5"/>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5"/>
      <c r="AY399" s="5"/>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5"/>
      <c r="AY400" s="5"/>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5"/>
      <c r="AY401" s="5"/>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5"/>
      <c r="AY402" s="5"/>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5"/>
      <c r="AY403" s="5"/>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5"/>
      <c r="AY404" s="5"/>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5"/>
      <c r="AY405" s="5"/>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5"/>
      <c r="AY406" s="5"/>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5"/>
      <c r="AY407" s="5"/>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5"/>
      <c r="AY408" s="5"/>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5"/>
      <c r="AY409" s="5"/>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5"/>
      <c r="AY410" s="5"/>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5"/>
      <c r="AY411" s="5"/>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5"/>
      <c r="AY412" s="5"/>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5"/>
      <c r="AY413" s="5"/>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5"/>
      <c r="AY414" s="5"/>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5"/>
      <c r="AY415" s="5"/>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5"/>
      <c r="AY416" s="5"/>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5"/>
      <c r="AY417" s="5"/>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5"/>
      <c r="AY418" s="5"/>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5"/>
      <c r="AY419" s="5"/>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5"/>
      <c r="AY420" s="5"/>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5"/>
      <c r="AY421" s="5"/>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5"/>
      <c r="AY422" s="5"/>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5"/>
      <c r="AY423" s="5"/>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5"/>
      <c r="AY424" s="5"/>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5"/>
      <c r="AY425" s="5"/>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5"/>
      <c r="AY426" s="5"/>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5"/>
      <c r="AY427" s="5"/>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5"/>
      <c r="AY428" s="5"/>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5"/>
      <c r="AY429" s="5"/>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5"/>
      <c r="AY430" s="5"/>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5"/>
      <c r="AY431" s="5"/>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5"/>
      <c r="AY432" s="5"/>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5"/>
      <c r="AY433" s="5"/>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5"/>
      <c r="AY434" s="5"/>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5"/>
      <c r="AY435" s="5"/>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5"/>
      <c r="AY436" s="5"/>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5"/>
      <c r="AY437" s="5"/>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5"/>
      <c r="AY438" s="5"/>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5"/>
      <c r="AY439" s="5"/>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5"/>
      <c r="AY440" s="5"/>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5"/>
      <c r="AY441" s="5"/>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5"/>
      <c r="AY442" s="5"/>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5"/>
      <c r="AY443" s="5"/>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5"/>
      <c r="AY444" s="5"/>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5"/>
      <c r="AY445" s="5"/>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5"/>
      <c r="AY446" s="5"/>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5"/>
      <c r="AY447" s="5"/>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5"/>
      <c r="AY448" s="5"/>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5"/>
      <c r="AY449" s="5"/>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5"/>
      <c r="AY450" s="5"/>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5"/>
      <c r="AY451" s="5"/>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5"/>
      <c r="AY452" s="5"/>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5"/>
      <c r="AY453" s="5"/>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5"/>
      <c r="AY454" s="5"/>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5"/>
      <c r="AY455" s="5"/>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5"/>
      <c r="AY456" s="5"/>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5"/>
      <c r="AY457" s="5"/>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5"/>
      <c r="AY458" s="5"/>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5"/>
      <c r="AY459" s="5"/>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5"/>
      <c r="AY460" s="5"/>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5"/>
      <c r="AY461" s="5"/>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5"/>
      <c r="AY462" s="5"/>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5"/>
      <c r="AY463" s="5"/>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5"/>
      <c r="AY464" s="5"/>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5"/>
      <c r="AY465" s="5"/>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5"/>
      <c r="AY466" s="5"/>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5"/>
      <c r="AY467" s="5"/>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5"/>
      <c r="AY468" s="5"/>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5"/>
      <c r="AY469" s="5"/>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5"/>
      <c r="AY470" s="5"/>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5"/>
      <c r="AY471" s="5"/>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5"/>
      <c r="AY472" s="5"/>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5"/>
      <c r="AY473" s="5"/>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5"/>
      <c r="AY474" s="5"/>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5"/>
      <c r="AY475" s="5"/>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5"/>
      <c r="AY476" s="5"/>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5"/>
      <c r="AY477" s="5"/>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5"/>
      <c r="AY478" s="5"/>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5"/>
      <c r="AY479" s="5"/>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5"/>
      <c r="AY480" s="5"/>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5"/>
      <c r="AY481" s="5"/>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5"/>
      <c r="AY482" s="5"/>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5"/>
      <c r="AY483" s="5"/>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5"/>
      <c r="AY484" s="5"/>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5"/>
      <c r="AY485" s="5"/>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5"/>
      <c r="AY486" s="5"/>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5"/>
      <c r="AY487" s="5"/>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5"/>
      <c r="AY488" s="5"/>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5"/>
      <c r="AY489" s="5"/>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5"/>
      <c r="AY490" s="5"/>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5"/>
      <c r="AY491" s="5"/>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5"/>
      <c r="AY492" s="5"/>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5"/>
      <c r="AY493" s="5"/>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5"/>
      <c r="AY494" s="5"/>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5"/>
      <c r="AY495" s="5"/>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5"/>
      <c r="AY496" s="5"/>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5"/>
      <c r="AY497" s="5"/>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5"/>
      <c r="AY498" s="5"/>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5"/>
      <c r="AY499" s="5"/>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5"/>
      <c r="AY500" s="5"/>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5"/>
      <c r="AY501" s="5"/>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5"/>
      <c r="AY502" s="5"/>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5"/>
      <c r="AY503" s="5"/>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5"/>
      <c r="AY504" s="5"/>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5"/>
      <c r="AY505" s="5"/>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5"/>
      <c r="AY506" s="5"/>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5"/>
      <c r="AY507" s="5"/>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5"/>
      <c r="AY508" s="5"/>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5"/>
      <c r="AY509" s="5"/>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5"/>
      <c r="AY510" s="5"/>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5"/>
      <c r="AY511" s="5"/>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5"/>
      <c r="AY512" s="5"/>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5"/>
      <c r="AY513" s="5"/>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5"/>
      <c r="AY514" s="5"/>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5"/>
      <c r="AY515" s="5"/>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5"/>
      <c r="AY516" s="5"/>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5"/>
      <c r="AY517" s="5"/>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5"/>
      <c r="AY518" s="5"/>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5"/>
      <c r="AY519" s="5"/>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5"/>
      <c r="AY520" s="5"/>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5"/>
      <c r="AY521" s="5"/>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5"/>
      <c r="AY522" s="5"/>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5"/>
      <c r="AY523" s="5"/>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5"/>
      <c r="AY524" s="5"/>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5"/>
      <c r="AY525" s="5"/>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5"/>
      <c r="AY526" s="5"/>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5"/>
      <c r="AY527" s="5"/>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5"/>
      <c r="AY528" s="5"/>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5"/>
      <c r="AY529" s="5"/>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5"/>
      <c r="AY530" s="5"/>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5"/>
      <c r="AY531" s="5"/>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5"/>
      <c r="AY532" s="5"/>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5"/>
      <c r="AY533" s="5"/>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5"/>
      <c r="AY534" s="5"/>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5"/>
      <c r="AY535" s="5"/>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5"/>
      <c r="AY536" s="5"/>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5"/>
      <c r="AY537" s="5"/>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5"/>
      <c r="AY538" s="5"/>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5"/>
      <c r="AY539" s="5"/>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5"/>
      <c r="AY540" s="5"/>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5"/>
      <c r="AY541" s="5"/>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5"/>
      <c r="AY542" s="5"/>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5"/>
      <c r="AY543" s="5"/>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5"/>
      <c r="AY544" s="5"/>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5"/>
      <c r="AY545" s="5"/>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5"/>
      <c r="AY546" s="5"/>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5"/>
      <c r="AY547" s="5"/>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5"/>
      <c r="AY548" s="5"/>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5"/>
      <c r="AY549" s="5"/>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5"/>
      <c r="AY550" s="5"/>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5"/>
      <c r="AY551" s="5"/>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5"/>
      <c r="AY552" s="5"/>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5"/>
      <c r="AY553" s="5"/>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5"/>
      <c r="AY554" s="5"/>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5"/>
      <c r="AY555" s="5"/>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5"/>
      <c r="AY556" s="5"/>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5"/>
      <c r="AY557" s="5"/>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5"/>
      <c r="AY558" s="5"/>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5"/>
      <c r="AY559" s="5"/>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5"/>
      <c r="AY560" s="5"/>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5"/>
      <c r="AY561" s="5"/>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5"/>
      <c r="AY562" s="5"/>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5"/>
      <c r="AY563" s="5"/>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5"/>
      <c r="AY564" s="5"/>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5"/>
      <c r="AY565" s="5"/>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5"/>
      <c r="AY566" s="5"/>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5"/>
      <c r="AY567" s="5"/>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5"/>
      <c r="AY568" s="5"/>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5"/>
      <c r="AY569" s="5"/>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5"/>
      <c r="AY570" s="5"/>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5"/>
      <c r="AY571" s="5"/>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5"/>
      <c r="AY572" s="5"/>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5"/>
      <c r="AY573" s="5"/>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5"/>
      <c r="AY574" s="5"/>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5"/>
      <c r="AY575" s="5"/>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5"/>
      <c r="AY576" s="5"/>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5"/>
      <c r="AY577" s="5"/>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5"/>
      <c r="AY578" s="5"/>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5"/>
      <c r="AY579" s="5"/>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5"/>
      <c r="AY580" s="5"/>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5"/>
      <c r="AY581" s="5"/>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5"/>
      <c r="AY582" s="5"/>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5"/>
      <c r="AY583" s="5"/>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5"/>
      <c r="AY584" s="5"/>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5"/>
      <c r="AY585" s="5"/>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5"/>
      <c r="AY586" s="5"/>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5"/>
      <c r="AY587" s="5"/>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5"/>
      <c r="AY588" s="5"/>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5"/>
      <c r="AY589" s="5"/>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5"/>
      <c r="AY590" s="5"/>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5"/>
      <c r="AY591" s="5"/>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5"/>
      <c r="AY592" s="5"/>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5"/>
      <c r="AY593" s="5"/>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5"/>
      <c r="AY594" s="5"/>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5"/>
      <c r="AY595" s="5"/>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5"/>
      <c r="AY596" s="5"/>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5"/>
      <c r="AY597" s="5"/>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5"/>
      <c r="AY598" s="5"/>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5"/>
      <c r="AY599" s="5"/>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5"/>
      <c r="AY600" s="5"/>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5"/>
      <c r="AY601" s="5"/>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5"/>
      <c r="AY602" s="5"/>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5"/>
      <c r="AY603" s="5"/>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5"/>
      <c r="AY604" s="5"/>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5"/>
      <c r="AY605" s="5"/>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5"/>
      <c r="AY606" s="5"/>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5"/>
      <c r="AY607" s="5"/>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5"/>
      <c r="AY608" s="5"/>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5"/>
      <c r="AY609" s="5"/>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5"/>
      <c r="AY610" s="5"/>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5"/>
      <c r="AY611" s="5"/>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5"/>
      <c r="AY612" s="5"/>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5"/>
      <c r="AY613" s="5"/>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5"/>
      <c r="AY614" s="5"/>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5"/>
      <c r="AY615" s="5"/>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5"/>
      <c r="AY616" s="5"/>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5"/>
      <c r="AY617" s="5"/>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5"/>
      <c r="AY618" s="5"/>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5"/>
      <c r="AY619" s="5"/>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5"/>
      <c r="AY620" s="5"/>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5"/>
      <c r="AY621" s="5"/>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5"/>
      <c r="AY622" s="5"/>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5"/>
      <c r="AY623" s="5"/>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5"/>
      <c r="AY624" s="5"/>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5"/>
      <c r="AY625" s="5"/>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5"/>
      <c r="AY626" s="5"/>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5"/>
      <c r="AY627" s="5"/>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5"/>
      <c r="AY628" s="5"/>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5"/>
      <c r="AY629" s="5"/>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5"/>
      <c r="AY630" s="5"/>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5"/>
      <c r="AY631" s="5"/>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5"/>
      <c r="AY632" s="5"/>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5"/>
      <c r="AY633" s="5"/>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5"/>
      <c r="AY634" s="5"/>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5"/>
      <c r="AY635" s="5"/>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5"/>
      <c r="AY636" s="5"/>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5"/>
      <c r="AY637" s="5"/>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5"/>
      <c r="AY638" s="5"/>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5"/>
      <c r="AY639" s="5"/>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5"/>
      <c r="AY640" s="5"/>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5"/>
      <c r="AY641" s="5"/>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5"/>
      <c r="AY642" s="5"/>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5"/>
      <c r="AY643" s="5"/>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5"/>
      <c r="AY644" s="5"/>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5"/>
      <c r="AY645" s="5"/>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5"/>
      <c r="AY646" s="5"/>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5"/>
      <c r="AY647" s="5"/>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5"/>
      <c r="AY648" s="5"/>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5"/>
      <c r="AY649" s="5"/>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5"/>
      <c r="AY650" s="5"/>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5"/>
      <c r="AY651" s="5"/>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5"/>
      <c r="AY652" s="5"/>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5"/>
      <c r="AY653" s="5"/>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5"/>
      <c r="AY654" s="5"/>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5"/>
      <c r="AY655" s="5"/>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5"/>
      <c r="AY656" s="5"/>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5"/>
      <c r="AY657" s="5"/>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5"/>
      <c r="AY658" s="5"/>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5"/>
      <c r="AY659" s="5"/>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5"/>
      <c r="AY660" s="5"/>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5"/>
      <c r="AY661" s="5"/>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5"/>
      <c r="AY662" s="5"/>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5"/>
      <c r="AY663" s="5"/>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5"/>
      <c r="AY664" s="5"/>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5"/>
      <c r="AY665" s="5"/>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5"/>
      <c r="AY666" s="5"/>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5"/>
      <c r="AY667" s="5"/>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5"/>
      <c r="AY668" s="5"/>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5"/>
      <c r="AY669" s="5"/>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5"/>
      <c r="AY670" s="5"/>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5"/>
      <c r="AY671" s="5"/>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5"/>
      <c r="AY672" s="5"/>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5"/>
      <c r="AY673" s="5"/>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5"/>
      <c r="AY674" s="5"/>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5"/>
      <c r="AY675" s="5"/>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5"/>
      <c r="AY676" s="5"/>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5"/>
      <c r="AY677" s="5"/>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5"/>
      <c r="AY678" s="5"/>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5"/>
      <c r="AY679" s="5"/>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5"/>
      <c r="AY680" s="5"/>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5"/>
      <c r="AY681" s="5"/>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5"/>
      <c r="AY682" s="5"/>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5"/>
      <c r="AY683" s="5"/>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5"/>
      <c r="AY684" s="5"/>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5"/>
      <c r="AY685" s="5"/>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5"/>
      <c r="AY686" s="5"/>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5"/>
      <c r="AY687" s="5"/>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5"/>
      <c r="AY688" s="5"/>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5"/>
      <c r="AY689" s="5"/>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5"/>
      <c r="AY690" s="5"/>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5"/>
      <c r="AY691" s="5"/>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5"/>
      <c r="AY692" s="5"/>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5"/>
      <c r="AY693" s="5"/>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5"/>
      <c r="AY694" s="5"/>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5"/>
      <c r="AY695" s="5"/>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5"/>
      <c r="AY696" s="5"/>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5"/>
      <c r="AY697" s="5"/>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5"/>
      <c r="AY698" s="5"/>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5"/>
      <c r="AY699" s="5"/>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5"/>
      <c r="AY700" s="5"/>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5"/>
      <c r="AY701" s="5"/>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5"/>
      <c r="AY702" s="5"/>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5"/>
      <c r="AY703" s="5"/>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5"/>
      <c r="AY704" s="5"/>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5"/>
      <c r="AY705" s="5"/>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5"/>
      <c r="AY706" s="5"/>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5"/>
      <c r="AY707" s="5"/>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5"/>
      <c r="AY708" s="5"/>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5"/>
      <c r="AY709" s="5"/>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5"/>
      <c r="AY710" s="5"/>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5"/>
      <c r="AY711" s="5"/>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5"/>
      <c r="AY712" s="5"/>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5"/>
      <c r="AY713" s="5"/>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5"/>
      <c r="AY714" s="5"/>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5"/>
      <c r="AY715" s="5"/>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5"/>
      <c r="AY716" s="5"/>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5"/>
      <c r="AY717" s="5"/>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5"/>
      <c r="AY718" s="5"/>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5"/>
      <c r="AY719" s="5"/>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5"/>
      <c r="AY720" s="5"/>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5"/>
      <c r="AY721" s="5"/>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5"/>
      <c r="AY722" s="5"/>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5"/>
      <c r="AY723" s="5"/>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5"/>
      <c r="AY724" s="5"/>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5"/>
      <c r="AY725" s="5"/>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5"/>
      <c r="AY726" s="5"/>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5"/>
      <c r="AY727" s="5"/>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5"/>
      <c r="AY728" s="5"/>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5"/>
      <c r="AY729" s="5"/>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5"/>
      <c r="AY730" s="5"/>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5"/>
      <c r="AY731" s="5"/>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5"/>
      <c r="AY732" s="5"/>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5"/>
      <c r="AY733" s="5"/>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5"/>
      <c r="AY734" s="5"/>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5"/>
      <c r="AY735" s="5"/>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5"/>
      <c r="AY736" s="5"/>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5"/>
      <c r="AY737" s="5"/>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5"/>
      <c r="AY738" s="5"/>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5"/>
      <c r="AY739" s="5"/>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5"/>
      <c r="AY740" s="5"/>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5"/>
      <c r="AY741" s="5"/>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5"/>
      <c r="AY742" s="5"/>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5"/>
      <c r="AY743" s="5"/>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5"/>
      <c r="AY744" s="5"/>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5"/>
      <c r="AY745" s="5"/>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5"/>
      <c r="AY746" s="5"/>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5"/>
      <c r="AY747" s="5"/>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5"/>
      <c r="AY748" s="5"/>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5"/>
      <c r="AY749" s="5"/>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5"/>
      <c r="AY750" s="5"/>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5"/>
      <c r="AY751" s="5"/>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5"/>
      <c r="AY752" s="5"/>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5"/>
      <c r="AY753" s="5"/>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5"/>
      <c r="AY754" s="5"/>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5"/>
      <c r="AY755" s="5"/>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5"/>
      <c r="AY756" s="5"/>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5"/>
      <c r="AY757" s="5"/>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5"/>
      <c r="AY758" s="5"/>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5"/>
      <c r="AY759" s="5"/>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5"/>
      <c r="AY760" s="5"/>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5"/>
      <c r="AY761" s="5"/>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5"/>
      <c r="AY762" s="5"/>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5"/>
      <c r="AY763" s="5"/>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5"/>
      <c r="AY764" s="5"/>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5"/>
      <c r="AY765" s="5"/>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5"/>
      <c r="AY766" s="5"/>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5"/>
      <c r="AY767" s="5"/>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5"/>
      <c r="AY768" s="5"/>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5"/>
      <c r="AY769" s="5"/>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5"/>
      <c r="AY770" s="5"/>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5"/>
      <c r="AY771" s="5"/>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5"/>
      <c r="AY772" s="5"/>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5"/>
      <c r="AY773" s="5"/>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5"/>
      <c r="AY774" s="5"/>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5"/>
      <c r="AY775" s="5"/>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5"/>
      <c r="AY776" s="5"/>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5"/>
      <c r="AY777" s="5"/>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5"/>
      <c r="AY778" s="5"/>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5"/>
      <c r="AY779" s="5"/>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5"/>
      <c r="AY780" s="5"/>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5"/>
      <c r="AY781" s="5"/>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5"/>
      <c r="AY782" s="5"/>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5"/>
      <c r="AY783" s="5"/>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5"/>
      <c r="AY784" s="5"/>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5"/>
      <c r="AY785" s="5"/>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5"/>
      <c r="AY786" s="5"/>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5"/>
      <c r="AY787" s="5"/>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5"/>
      <c r="AY788" s="5"/>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5"/>
      <c r="AY789" s="5"/>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5"/>
      <c r="AY790" s="5"/>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5"/>
      <c r="AY791" s="5"/>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5"/>
      <c r="AY792" s="5"/>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5"/>
      <c r="AY793" s="5"/>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5"/>
      <c r="AY794" s="5"/>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5"/>
      <c r="AY795" s="5"/>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5"/>
      <c r="AY796" s="5"/>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5"/>
      <c r="AY797" s="5"/>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5"/>
      <c r="AY798" s="5"/>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5"/>
      <c r="AY799" s="5"/>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5"/>
      <c r="AY800" s="5"/>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5"/>
      <c r="AY801" s="5"/>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5"/>
      <c r="AY802" s="5"/>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5"/>
      <c r="AY803" s="5"/>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5"/>
      <c r="AY804" s="5"/>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5"/>
      <c r="AY805" s="5"/>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5"/>
      <c r="AY806" s="5"/>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5"/>
      <c r="AY807" s="5"/>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5"/>
      <c r="AY808" s="5"/>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5"/>
      <c r="AY809" s="5"/>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5"/>
      <c r="AY810" s="5"/>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5"/>
      <c r="AY811" s="5"/>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5"/>
      <c r="AY812" s="5"/>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5"/>
      <c r="AY813" s="5"/>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5"/>
      <c r="AY814" s="5"/>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5"/>
      <c r="AY815" s="5"/>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5"/>
      <c r="AY816" s="5"/>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5"/>
      <c r="AY817" s="5"/>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5"/>
      <c r="AY818" s="5"/>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5"/>
      <c r="AY819" s="5"/>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5"/>
      <c r="AY820" s="5"/>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5"/>
      <c r="AY821" s="5"/>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5"/>
      <c r="AY822" s="5"/>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5"/>
      <c r="AY823" s="5"/>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5"/>
      <c r="AY824" s="5"/>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5"/>
      <c r="AY825" s="5"/>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5"/>
      <c r="AY826" s="5"/>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5"/>
      <c r="AY827" s="5"/>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5"/>
      <c r="AY828" s="5"/>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5"/>
      <c r="AY829" s="5"/>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5"/>
      <c r="AY830" s="5"/>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5"/>
      <c r="AY831" s="5"/>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5"/>
      <c r="AY832" s="5"/>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5"/>
      <c r="AY833" s="5"/>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5"/>
      <c r="AY834" s="5"/>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5"/>
      <c r="AY835" s="5"/>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5"/>
      <c r="AY836" s="5"/>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5"/>
      <c r="AY837" s="5"/>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5"/>
      <c r="AY838" s="5"/>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5"/>
      <c r="AY839" s="5"/>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5"/>
      <c r="AY840" s="5"/>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5"/>
      <c r="AY841" s="5"/>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5"/>
      <c r="AY842" s="5"/>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5"/>
      <c r="AY843" s="5"/>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5"/>
      <c r="AY844" s="5"/>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5"/>
      <c r="AY845" s="5"/>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5"/>
      <c r="AY846" s="5"/>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5"/>
      <c r="AY847" s="5"/>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5"/>
      <c r="AY848" s="5"/>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5"/>
      <c r="AY849" s="5"/>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5"/>
      <c r="AY850" s="5"/>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5"/>
      <c r="AY851" s="5"/>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5"/>
      <c r="AY852" s="5"/>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5"/>
      <c r="AY853" s="5"/>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5"/>
      <c r="AY854" s="5"/>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5"/>
      <c r="AY855" s="5"/>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5"/>
      <c r="AY856" s="5"/>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5"/>
      <c r="AY857" s="5"/>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5"/>
      <c r="AY858" s="5"/>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5"/>
      <c r="AY859" s="5"/>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5"/>
      <c r="AY860" s="5"/>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5"/>
      <c r="AY861" s="5"/>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5"/>
      <c r="AY862" s="5"/>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5"/>
      <c r="AY863" s="5"/>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5"/>
      <c r="AY864" s="5"/>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5"/>
      <c r="AY865" s="5"/>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5"/>
      <c r="AY866" s="5"/>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5"/>
      <c r="AY867" s="5"/>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5"/>
      <c r="AY868" s="5"/>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5"/>
      <c r="AY869" s="5"/>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5"/>
      <c r="AY870" s="5"/>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5"/>
      <c r="AY871" s="5"/>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5"/>
      <c r="AY872" s="5"/>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5"/>
      <c r="AY873" s="5"/>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5"/>
      <c r="AY874" s="5"/>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5"/>
      <c r="AY875" s="5"/>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5"/>
      <c r="AY876" s="5"/>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5"/>
      <c r="AY877" s="5"/>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5"/>
      <c r="AY878" s="5"/>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5"/>
      <c r="AY879" s="5"/>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5"/>
      <c r="AY880" s="5"/>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5"/>
      <c r="AY881" s="5"/>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5"/>
      <c r="AY882" s="5"/>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5"/>
      <c r="AY883" s="5"/>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5"/>
      <c r="AY884" s="5"/>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5"/>
      <c r="AY885" s="5"/>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5"/>
      <c r="AY886" s="5"/>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5"/>
      <c r="AY887" s="5"/>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5"/>
      <c r="AY888" s="5"/>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5"/>
      <c r="AY889" s="5"/>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5"/>
      <c r="AY890" s="5"/>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5"/>
      <c r="AY891" s="5"/>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5"/>
      <c r="AY892" s="5"/>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5"/>
      <c r="AY893" s="5"/>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5"/>
      <c r="AY894" s="5"/>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5"/>
      <c r="AY895" s="5"/>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5"/>
      <c r="AY896" s="5"/>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5"/>
      <c r="AY897" s="5"/>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5"/>
      <c r="AY898" s="5"/>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5"/>
      <c r="AY899" s="5"/>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5"/>
      <c r="AY900" s="5"/>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5"/>
      <c r="AY901" s="5"/>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5"/>
      <c r="AY902" s="5"/>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5"/>
      <c r="AY903" s="5"/>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5"/>
      <c r="AY904" s="5"/>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5"/>
      <c r="AY905" s="5"/>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5"/>
      <c r="AY906" s="5"/>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5"/>
      <c r="AY907" s="5"/>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5"/>
      <c r="AY908" s="5"/>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5"/>
      <c r="AY909" s="5"/>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5"/>
      <c r="AY910" s="5"/>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5"/>
      <c r="AY911" s="5"/>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5"/>
      <c r="AY912" s="5"/>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5"/>
      <c r="AY913" s="5"/>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5"/>
      <c r="AY914" s="5"/>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5"/>
      <c r="AY915" s="5"/>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5"/>
      <c r="AY916" s="5"/>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5"/>
      <c r="AY917" s="5"/>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5"/>
      <c r="AY918" s="5"/>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5"/>
      <c r="AY919" s="5"/>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5"/>
      <c r="AY920" s="5"/>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5"/>
      <c r="AY921" s="5"/>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5"/>
      <c r="AY922" s="5"/>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5"/>
      <c r="AY923" s="5"/>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5"/>
      <c r="AY924" s="5"/>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5"/>
      <c r="AY925" s="5"/>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5"/>
      <c r="AY926" s="5"/>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5"/>
      <c r="AY927" s="5"/>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5"/>
      <c r="AY928" s="5"/>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5"/>
      <c r="AY929" s="5"/>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5"/>
      <c r="AY930" s="5"/>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5"/>
      <c r="AY931" s="5"/>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5"/>
      <c r="AY932" s="5"/>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5"/>
      <c r="AY933" s="5"/>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5"/>
      <c r="AY934" s="5"/>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5"/>
      <c r="AY935" s="5"/>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5"/>
      <c r="AY936" s="5"/>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5"/>
      <c r="AY937" s="5"/>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5"/>
      <c r="AY938" s="5"/>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5"/>
      <c r="AY939" s="5"/>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5"/>
      <c r="AY940" s="5"/>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5"/>
      <c r="AY941" s="5"/>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5"/>
      <c r="AY942" s="5"/>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5"/>
      <c r="AY943" s="5"/>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5"/>
      <c r="AY944" s="5"/>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5"/>
      <c r="AY945" s="5"/>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5"/>
      <c r="AY946" s="5"/>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5"/>
      <c r="AY947" s="5"/>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5"/>
      <c r="AY948" s="5"/>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5"/>
      <c r="AY949" s="5"/>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5"/>
      <c r="AY950" s="5"/>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5"/>
      <c r="AY951" s="5"/>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5"/>
      <c r="AY952" s="5"/>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5"/>
      <c r="AY953" s="5"/>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5"/>
      <c r="AY954" s="5"/>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5"/>
      <c r="AY955" s="5"/>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5"/>
      <c r="AY956" s="5"/>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5"/>
      <c r="AY957" s="5"/>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5"/>
      <c r="AY958" s="5"/>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5"/>
      <c r="AY959" s="5"/>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5"/>
      <c r="AY960" s="5"/>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5"/>
      <c r="AY961" s="5"/>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5"/>
      <c r="AY962" s="5"/>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5"/>
      <c r="AY963" s="5"/>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5"/>
      <c r="AY964" s="5"/>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5"/>
      <c r="AY965" s="5"/>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5"/>
      <c r="AY966" s="5"/>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5"/>
      <c r="AY967" s="5"/>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5"/>
      <c r="AY968" s="5"/>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5"/>
      <c r="AY969" s="5"/>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5"/>
      <c r="AY970" s="5"/>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5"/>
      <c r="AY971" s="5"/>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5"/>
      <c r="AY972" s="5"/>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5"/>
      <c r="AY973" s="5"/>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5"/>
      <c r="AY974" s="5"/>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5"/>
      <c r="AY975" s="5"/>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5"/>
      <c r="AY976" s="5"/>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5"/>
      <c r="AY977" s="5"/>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5"/>
      <c r="AY978" s="5"/>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5"/>
      <c r="AY979" s="5"/>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5"/>
      <c r="AY980" s="5"/>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5"/>
      <c r="AY981" s="5"/>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5"/>
      <c r="AY982" s="5"/>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5"/>
      <c r="AY983" s="5"/>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5"/>
      <c r="AY984" s="5"/>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5"/>
      <c r="AY985" s="5"/>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5"/>
      <c r="AY986" s="5"/>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5"/>
      <c r="AY987" s="5"/>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5"/>
      <c r="AY988" s="5"/>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5"/>
      <c r="AY989" s="5"/>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5"/>
      <c r="AY990" s="5"/>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5"/>
      <c r="AY991" s="5"/>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5"/>
      <c r="AY992" s="5"/>
    </row>
  </sheetData>
  <mergeCells count="17">
    <mergeCell ref="C6:C9"/>
    <mergeCell ref="B6:B9"/>
    <mergeCell ref="H4:I4"/>
    <mergeCell ref="K4:L4"/>
    <mergeCell ref="N4:O4"/>
    <mergeCell ref="Q4:R4"/>
    <mergeCell ref="T4:U4"/>
    <mergeCell ref="Z4:AA4"/>
    <mergeCell ref="AC4:AD4"/>
    <mergeCell ref="AF4:AG4"/>
    <mergeCell ref="AI4:AJ4"/>
    <mergeCell ref="AL4:AM4"/>
    <mergeCell ref="AO4:AP4"/>
    <mergeCell ref="AR4:AS4"/>
    <mergeCell ref="AU4:AV4"/>
    <mergeCell ref="W4:X4"/>
    <mergeCell ref="AX4:AY4"/>
  </mergeCells>
  <printOptions/>
  <pageMargins bottom="0.7480314960629921" footer="0.0" header="0.0" left="0.6299212598425197" right="0.6299212598425197" top="0.7480314960629921"/>
  <pageSetup orientation="landscape"/>
  <colBreaks count="3" manualBreakCount="3">
    <brk id="51" man="1"/>
    <brk id="36"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6" t="str">
        <f>'Sprint Backlog'!B5</f>
        <v>Identificador (ID) de item de product backlog</v>
      </c>
      <c r="C5" s="6" t="s">
        <v>6</v>
      </c>
      <c r="D5" s="1"/>
      <c r="E5" s="1"/>
      <c r="F5" s="1"/>
      <c r="G5" s="1"/>
      <c r="H5" s="1"/>
      <c r="I5" s="1"/>
      <c r="J5" s="1"/>
      <c r="K5" s="1"/>
      <c r="L5" s="1"/>
      <c r="M5" s="1"/>
      <c r="N5" s="1"/>
      <c r="O5" s="1"/>
      <c r="P5" s="1"/>
      <c r="Q5" s="1"/>
      <c r="R5" s="1"/>
      <c r="S5" s="1"/>
      <c r="T5" s="1"/>
      <c r="U5" s="1"/>
      <c r="V5" s="1"/>
      <c r="W5" s="1"/>
      <c r="X5" s="1"/>
      <c r="Y5" s="1"/>
      <c r="Z5" s="1"/>
    </row>
    <row r="6">
      <c r="A6" s="1"/>
      <c r="B6" s="6" t="str">
        <f>'Sprint Backlog'!C5</f>
        <v>Enunciado del item de Product Backlog</v>
      </c>
      <c r="C6" s="6" t="s">
        <v>7</v>
      </c>
      <c r="D6" s="1"/>
      <c r="E6" s="1"/>
      <c r="F6" s="1"/>
      <c r="G6" s="1"/>
      <c r="H6" s="1"/>
      <c r="I6" s="1"/>
      <c r="J6" s="1"/>
      <c r="K6" s="1"/>
      <c r="L6" s="1"/>
      <c r="M6" s="1"/>
      <c r="N6" s="1"/>
      <c r="O6" s="1"/>
      <c r="P6" s="1"/>
      <c r="Q6" s="1"/>
      <c r="R6" s="1"/>
      <c r="S6" s="1"/>
      <c r="T6" s="1"/>
      <c r="U6" s="1"/>
      <c r="V6" s="1"/>
      <c r="W6" s="1"/>
      <c r="X6" s="1"/>
      <c r="Y6" s="1"/>
      <c r="Z6" s="1"/>
    </row>
    <row r="7">
      <c r="A7" s="1"/>
      <c r="B7" s="6" t="s">
        <v>8</v>
      </c>
      <c r="C7" s="6" t="s">
        <v>9</v>
      </c>
      <c r="D7" s="1"/>
      <c r="E7" s="1"/>
      <c r="F7" s="1"/>
      <c r="G7" s="1"/>
      <c r="H7" s="1"/>
      <c r="I7" s="1"/>
      <c r="J7" s="1"/>
      <c r="K7" s="1"/>
      <c r="L7" s="1"/>
      <c r="M7" s="1"/>
      <c r="N7" s="1"/>
      <c r="O7" s="1"/>
      <c r="P7" s="1"/>
      <c r="Q7" s="1"/>
      <c r="R7" s="1"/>
      <c r="S7" s="1"/>
      <c r="T7" s="1"/>
      <c r="U7" s="1"/>
      <c r="V7" s="1"/>
      <c r="W7" s="1"/>
      <c r="X7" s="1"/>
      <c r="Y7" s="1"/>
      <c r="Z7" s="1"/>
    </row>
    <row r="8">
      <c r="A8" s="1"/>
      <c r="B8" s="6" t="s">
        <v>10</v>
      </c>
      <c r="C8" s="6" t="s">
        <v>11</v>
      </c>
      <c r="D8" s="1"/>
      <c r="E8" s="1"/>
      <c r="F8" s="1"/>
      <c r="G8" s="1"/>
      <c r="H8" s="1"/>
      <c r="I8" s="1"/>
      <c r="J8" s="1"/>
      <c r="K8" s="1"/>
      <c r="L8" s="1"/>
      <c r="M8" s="1"/>
      <c r="N8" s="1"/>
      <c r="O8" s="1"/>
      <c r="P8" s="1"/>
      <c r="Q8" s="1"/>
      <c r="R8" s="1"/>
      <c r="S8" s="1"/>
      <c r="T8" s="1"/>
      <c r="U8" s="1"/>
      <c r="V8" s="1"/>
      <c r="W8" s="1"/>
      <c r="X8" s="1"/>
      <c r="Y8" s="1"/>
      <c r="Z8" s="1"/>
    </row>
    <row r="9">
      <c r="A9" s="1"/>
      <c r="B9" s="6" t="s">
        <v>12</v>
      </c>
      <c r="C9" s="6" t="s">
        <v>13</v>
      </c>
      <c r="D9" s="1"/>
      <c r="E9" s="1"/>
      <c r="F9" s="1"/>
      <c r="G9" s="1"/>
      <c r="H9" s="1"/>
      <c r="I9" s="1"/>
      <c r="J9" s="1"/>
      <c r="K9" s="1"/>
      <c r="L9" s="1"/>
      <c r="M9" s="1"/>
      <c r="N9" s="1"/>
      <c r="O9" s="1"/>
      <c r="P9" s="1"/>
      <c r="Q9" s="1"/>
      <c r="R9" s="1"/>
      <c r="S9" s="1"/>
      <c r="T9" s="1"/>
      <c r="U9" s="1"/>
      <c r="V9" s="1"/>
      <c r="W9" s="1"/>
      <c r="X9" s="1"/>
      <c r="Y9" s="1"/>
      <c r="Z9" s="1"/>
    </row>
    <row r="10">
      <c r="A10" s="1"/>
      <c r="B10" s="6" t="s">
        <v>15</v>
      </c>
      <c r="C10" s="6" t="s">
        <v>16</v>
      </c>
      <c r="D10" s="1"/>
      <c r="E10" s="1"/>
      <c r="F10" s="1"/>
      <c r="G10" s="1"/>
      <c r="H10" s="1"/>
      <c r="I10" s="1"/>
      <c r="J10" s="1"/>
      <c r="K10" s="1"/>
      <c r="L10" s="1"/>
      <c r="M10" s="1"/>
      <c r="N10" s="1"/>
      <c r="O10" s="1"/>
      <c r="P10" s="1"/>
      <c r="Q10" s="1"/>
      <c r="R10" s="1"/>
      <c r="S10" s="1"/>
      <c r="T10" s="1"/>
      <c r="U10" s="1"/>
      <c r="V10" s="1"/>
      <c r="W10" s="1"/>
      <c r="X10" s="1"/>
      <c r="Y10" s="1"/>
      <c r="Z10" s="1"/>
    </row>
    <row r="11">
      <c r="A11" s="1"/>
      <c r="B11" s="6" t="s">
        <v>18</v>
      </c>
      <c r="C11" s="6" t="s">
        <v>19</v>
      </c>
      <c r="D11" s="1"/>
      <c r="E11" s="1"/>
      <c r="F11" s="1"/>
      <c r="G11" s="1"/>
      <c r="H11" s="1"/>
      <c r="I11" s="1"/>
      <c r="J11" s="1"/>
      <c r="K11" s="1"/>
      <c r="L11" s="1"/>
      <c r="M11" s="1"/>
      <c r="N11" s="1"/>
      <c r="O11" s="1"/>
      <c r="P11" s="1"/>
      <c r="Q11" s="1"/>
      <c r="R11" s="1"/>
      <c r="S11" s="1"/>
      <c r="T11" s="1"/>
      <c r="U11" s="1"/>
      <c r="V11" s="1"/>
      <c r="W11" s="1"/>
      <c r="X11" s="1"/>
      <c r="Y11" s="1"/>
      <c r="Z11" s="1"/>
    </row>
    <row r="12">
      <c r="A12" s="1"/>
      <c r="B12" s="6" t="s">
        <v>21</v>
      </c>
      <c r="C12" s="6" t="s">
        <v>23</v>
      </c>
      <c r="D12" s="1"/>
      <c r="E12" s="1"/>
      <c r="F12" s="1"/>
      <c r="G12" s="1"/>
      <c r="H12" s="1"/>
      <c r="I12" s="1"/>
      <c r="J12" s="1"/>
      <c r="K12" s="1"/>
      <c r="L12" s="1"/>
      <c r="M12" s="1"/>
      <c r="N12" s="1"/>
      <c r="O12" s="1"/>
      <c r="P12" s="1"/>
      <c r="Q12" s="1"/>
      <c r="R12" s="1"/>
      <c r="S12" s="1"/>
      <c r="T12" s="1"/>
      <c r="U12" s="1"/>
      <c r="V12" s="1"/>
      <c r="W12" s="1"/>
      <c r="X12" s="1"/>
      <c r="Y12" s="1"/>
      <c r="Z12" s="1"/>
    </row>
    <row r="13">
      <c r="A13" s="1"/>
      <c r="B13" s="6" t="s">
        <v>25</v>
      </c>
      <c r="C13" s="6" t="s">
        <v>26</v>
      </c>
      <c r="D13" s="1"/>
      <c r="E13" s="1"/>
      <c r="F13" s="1"/>
      <c r="G13" s="1"/>
      <c r="H13" s="1"/>
      <c r="I13" s="1"/>
      <c r="J13" s="1"/>
      <c r="K13" s="1"/>
      <c r="L13" s="1"/>
      <c r="M13" s="1"/>
      <c r="N13" s="1"/>
      <c r="O13" s="1"/>
      <c r="P13" s="1"/>
      <c r="Q13" s="1"/>
      <c r="R13" s="1"/>
      <c r="S13" s="1"/>
      <c r="T13" s="1"/>
      <c r="U13" s="1"/>
      <c r="V13" s="1"/>
      <c r="W13" s="1"/>
      <c r="X13" s="1"/>
      <c r="Y13" s="1"/>
      <c r="Z13" s="1"/>
    </row>
    <row r="14">
      <c r="A14" s="1"/>
      <c r="B14" s="6" t="s">
        <v>29</v>
      </c>
      <c r="C14" s="6" t="s">
        <v>30</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